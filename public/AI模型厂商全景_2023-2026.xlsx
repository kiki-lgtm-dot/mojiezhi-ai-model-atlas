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801294783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8dba41062f04036"/>
    <x:sheet xmlns:r="http://schemas.openxmlformats.org/officeDocument/2006/relationships" name="厂商地图" sheetId="2" r:id="R7a89739aa8824de0"/>
    <x:sheet xmlns:r="http://schemas.openxmlformats.org/officeDocument/2006/relationships" name="模型时间轴" sheetId="3" r:id="R1be871a31d6b4ce5"/>
    <x:sheet xmlns:r="http://schemas.openxmlformats.org/officeDocument/2006/relationships" name="当前定价" sheetId="4" r:id="R3b69c52b724f47d2"/>
    <x:sheet xmlns:r="http://schemas.openxmlformats.org/officeDocument/2006/relationships" name="成本计算器" sheetId="5" r:id="Rdfab913af245456a"/>
    <x:sheet xmlns:r="http://schemas.openxmlformats.org/officeDocument/2006/relationships" name="应用案例" sheetId="6" r:id="R8f088369bcbf4f6d"/>
    <x:sheet xmlns:r="http://schemas.openxmlformats.org/officeDocument/2006/relationships" name="场景选型" sheetId="7" r:id="R8a5b61ebc9b24abf"/>
    <x:sheet xmlns:r="http://schemas.openxmlformats.org/officeDocument/2006/relationships" name="资料来源" sheetId="8" r:id="R4bbb141beaaa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00"/>
    <x:numFmt numFmtId="202" formatCode="#,##0"/>
    <x:numFmt numFmtId="203" formatCode="0.0%"/>
    <x:numFmt numFmtId="204" formatCode="0.000"/>
    <x:numFmt numFmtId="205" formatCode="#,##0.0000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2"/>
      <x:color rgb="FF12233F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2"/>
      <x:color rgb="FF1F6E8C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1"/>
      <x:color rgb="FF7A5200"/>
      <x:name val="Carlito"/>
    </x:font>
    <x:font>
      <x:b/>
      <x:sz val="10"/>
      <x:color rgb="FFFFFFFF"/>
      <x:name val="Carlito"/>
    </x:font>
    <x:font>
      <x:sz val="9"/>
      <x:color rgb="FF0B57D0"/>
      <x:name val="Carlito"/>
    </x:font>
    <x:font>
      <x:b/>
      <x:sz val="11"/>
      <x:color rgb="FF244B5A"/>
      <x:name val="Carlito"/>
    </x:font>
    <x:font>
      <x:b/>
      <x:sz val="11"/>
      <x:color rgb="FF0B57D0"/>
      <x:name val="Carlito"/>
    </x:font>
    <x:font>
      <x:sz val="9"/>
      <x:color rgb="FF6B5200"/>
      <x:name val="Carlito"/>
    </x:font>
    <x:font>
      <x:b/>
      <x:sz val="9"/>
      <x:color rgb="FFFFFFFF"/>
      <x:name val="Carlito"/>
    </x:font>
    <x:font>
      <x:sz val="11"/>
      <x:color rgb="FF0B57D0"/>
      <x:name val="Carlito"/>
    </x:font>
    <x:font>
      <x:b/>
      <x:sz val="9"/>
      <x:color rgb="FF0B57D0"/>
      <x:name val="Carlito"/>
    </x:font>
    <x:font>
      <x:b/>
      <x:sz val="9"/>
      <x:color rgb="FF244B5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8F1F5"/>
      </x:patternFill>
    </x:fill>
    <x:fill>
      <x:patternFill patternType="solid">
        <x:fgColor rgb="FFF3F7F9"/>
      </x:patternFill>
    </x:fill>
    <x:fill>
      <x:patternFill patternType="solid">
        <x:fgColor rgb="FF1F6E8C"/>
      </x:patternFill>
    </x:fill>
    <x:fill>
      <x:patternFill patternType="solid">
        <x:fgColor rgb="FFD9EAF0"/>
      </x:patternFill>
    </x:fill>
    <x:fill>
      <x:patternFill patternType="solid">
        <x:fgColor rgb="FF5E8C6A"/>
      </x:patternFill>
    </x:fill>
    <x:fill>
      <x:patternFill patternType="solid">
        <x:fgColor rgb="FFFFF4D6"/>
      </x:patternFill>
    </x:fill>
    <x:fill>
      <x:patternFill patternType="solid">
        <x:fgColor rgb="FFE6F0FF"/>
      </x:patternFill>
    </x:fill>
    <x:fill>
      <x:patternFill patternType="solid">
        <x:fgColor rgb="FFFFF9E8"/>
      </x:patternFill>
    </x:fill>
  </x:fills>
  <x:borders count="14">
    <x:border/>
    <x:border>
      <x:left style="thin">
        <x:color rgb="FFAAB8C2"/>
      </x:left>
      <x:top style="thin">
        <x:color rgb="FFAAB8C2"/>
      </x:top>
      <x:bottom style="thin">
        <x:color rgb="FFAAB8C2"/>
      </x:bottom>
    </x:border>
    <x:border>
      <x:right style="thin">
        <x:color rgb="FFAAB8C2"/>
      </x:right>
      <x:top style="thin">
        <x:color rgb="FFAAB8C2"/>
      </x:top>
      <x:bottom style="thin">
        <x:color rgb="FFAAB8C2"/>
      </x:bottom>
    </x:border>
    <x:border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bottom style="thin">
        <x:color rgb="FFDCE3EA"/>
      </x:bottom>
    </x:border>
    <x:border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  <x:bottom style="thin">
        <x:color rgb="FFDCE3EA"/>
      </x:bottom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  <x:right style="thin">
        <x:color rgb="FFDCE3EA"/>
      </x:right>
      <x:top style="thin">
        <x:color rgb="FFDCE3EA"/>
      </x:top>
    </x:border>
    <x:border>
      <x:left style="thin">
        <x:color rgb="FFDCE3EA"/>
      </x:left>
      <x:top style="thin">
        <x:color rgb="FFDCE3EA"/>
      </x:top>
    </x:border>
    <x:border>
      <x:left style="thin">
        <x:color rgb="FFB7C7D3"/>
      </x:left>
      <x:right style="thin">
        <x:color rgb="FFB7C7D3"/>
      </x:right>
      <x:top style="thin">
        <x:color rgb="FFB7C7D3"/>
      </x:top>
      <x:bottom style="thin">
        <x:color rgb="FFB7C7D3"/>
      </x:bottom>
    </x:border>
    <x:border>
      <x:left style="thin">
        <x:color rgb="FF8FB3E8"/>
      </x:left>
      <x:right style="thin">
        <x:color rgb="FF8FB3E8"/>
      </x:right>
      <x:top style="thin">
        <x:color rgb="FF8FB3E8"/>
      </x:top>
      <x:bottom style="thin">
        <x:color rgb="FF8FB3E8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horizontal="center"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0" fontId="6" fillId="6" borderId="9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7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200" fontId="8" fillId="0" borderId="6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201" fontId="8" fillId="0" borderId="7" xfId="0" applyNumberFormat="1" applyFont="1" applyFill="1" applyBorder="1" applyAlignment="1">
      <x:alignment vertical="top" wrapText="1"/>
    </x:xf>
    <x:xf numFmtId="201" fontId="8" fillId="0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12" xfId="0" applyNumberFormat="1" applyFont="1" applyFill="1" applyBorder="1"/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13" xfId="0" applyNumberFormat="1" applyFont="1" applyFill="1" applyBorder="1"/>
    <x:xf numFmtId="202" fontId="13" fillId="9" borderId="13" xfId="0" applyNumberFormat="1" applyFont="1" applyFill="1" applyBorder="1"/>
    <x:xf numFmtId="203" fontId="13" fillId="9" borderId="13" xfId="0" applyNumberFormat="1" applyFont="1" applyFill="1" applyBorder="1"/>
    <x:xf numFmtId="204" fontId="13" fillId="9" borderId="13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top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6" fillId="9" borderId="0" xfId="0" applyNumberFormat="1" applyFont="1" applyFill="1" applyBorder="1"/>
    <x:xf numFmtId="203" fontId="16" fillId="9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16" fillId="9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16" fillId="9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8" fillId="3" borderId="3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  <x:xf numFmtId="0" fontId="18" fillId="3" borderId="3" xfId="0" applyNumberFormat="1" applyFont="1" applyFill="1" applyBorder="1" applyAlignment="1">
      <x:alignment vertical="top" wrapText="1"/>
    </x:xf>
    <x:xf numFmtId="0" fontId="18" fillId="3" borderId="6" xfId="0" applyNumberFormat="1" applyFont="1" applyFill="1" applyBorder="1" applyAlignment="1">
      <x:alignment vertical="top" wrapText="1"/>
    </x:xf>
    <x:xf numFmtId="0" fontId="18" fillId="3" borderId="9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ab12ab9704367" /><Relationship Type="http://schemas.openxmlformats.org/officeDocument/2006/relationships/theme" Target="/xl/theme/theme1.xml" Id="Rea429586158d4000" /><Relationship Type="http://schemas.openxmlformats.org/officeDocument/2006/relationships/sharedStrings" Target="/xl/sharedStrings.xml" Id="R9d2a63728bf24b7c" /><Relationship Type="http://schemas.openxmlformats.org/officeDocument/2006/relationships/worksheet" Target="/xl/worksheets/sheet1.xml" Id="Re8dba41062f04036" /><Relationship Type="http://schemas.openxmlformats.org/officeDocument/2006/relationships/worksheet" Target="/xl/worksheets/sheet2.xml" Id="R7a89739aa8824de0" /><Relationship Type="http://schemas.openxmlformats.org/officeDocument/2006/relationships/worksheet" Target="/xl/worksheets/sheet3.xml" Id="R1be871a31d6b4ce5" /><Relationship Type="http://schemas.openxmlformats.org/officeDocument/2006/relationships/worksheet" Target="/xl/worksheets/sheet4.xml" Id="R3b69c52b724f47d2" /><Relationship Type="http://schemas.openxmlformats.org/officeDocument/2006/relationships/worksheet" Target="/xl/worksheets/sheet5.xml" Id="Rdfab913af245456a" /><Relationship Type="http://schemas.openxmlformats.org/officeDocument/2006/relationships/worksheet" Target="/xl/worksheets/sheet6.xml" Id="R8f088369bcbf4f6d" /><Relationship Type="http://schemas.openxmlformats.org/officeDocument/2006/relationships/worksheet" Target="/xl/worksheets/sheet7.xml" Id="R8a5b61ebc9b24abf" /><Relationship Type="http://schemas.openxmlformats.org/officeDocument/2006/relationships/worksheet" Target="/xl/worksheets/sheet8.xml" Id="R4bbb141beaaa4850" /><Relationship Type="http://schemas.microsoft.com/office/2017/10/relationships/person" Target="/xl/persons/person.xml" Id="Rd5389d3b7de4442b" /></Relationships>
</file>

<file path=xl/persons/person.xml><?xml version="1.0" encoding="utf-8"?>
<xltc:personList xmlns:xltc="http://schemas.microsoft.com/office/spreadsheetml/2018/threadedcomments">
  <xltc:person displayName="User" id="{CA9ED8A2-719C-4E96-893B-ADFF0FF5BDB9}"/>
</xltc:personList>
</file>

<file path=xl/tables/table1.xml><?xml version="1.0" encoding="utf-8"?>
<x:table xmlns:x="http://schemas.openxmlformats.org/spreadsheetml/2006/main" id="1" name="VendorsTable" displayName="VendorsTable" ref="A2:L26" headerRowCount="1" totalsRowCount="0" totalsRowShown="0">
  <x:autoFilter ref="A2:L26"/>
  <x:tableColumns count="12">
    <x:tableColumn id="1" name="区域"/>
    <x:tableColumn id="2" name="厂商"/>
    <x:tableColumn id="3" name="2023—2026 发展简介"/>
    <x:tableColumn id="4" name="当前代表模型"/>
    <x:tableColumn id="5" name="对应产品/入口"/>
    <x:tableColumn id="6" name="核心优势"/>
    <x:tableColumn id="7" name="开放性"/>
    <x:tableColumn id="8" name="部署形态"/>
    <x:tableColumn id="9" name="当前价格摘要"/>
    <x:tableColumn id="10" name="适用场景"/>
    <x:tableColumn id="11" name="官网/官方文档"/>
    <x:tableColumn id="12" name="证据/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Table" displayName="TimelineTable" ref="A2:H98" headerRowCount="1" totalsRowCount="0" totalsRowShown="0">
  <x:autoFilter ref="A2:H98"/>
  <x:tableColumns count="8">
    <x:tableColumn id="1" name="年份"/>
    <x:tableColumn id="2" name="厂商"/>
    <x:tableColumn id="3" name="发布时间"/>
    <x:tableColumn id="4" name="模型/系列"/>
    <x:tableColumn id="5" name="关键能力变化"/>
    <x:tableColumn id="6" name="对应产品/入口"/>
    <x:tableColumn id="7" name="官方来源"/>
    <x:tableColumn id="8" name="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cesTable" displayName="PricesTable" ref="A2:O46" headerRowCount="1" totalsRowCount="0" totalsRowShown="0">
  <x:autoFilter ref="A2:O46"/>
  <x:tableColumns count="15">
    <x:tableColumn id="1" name="区域"/>
    <x:tableColumn id="2" name="厂商"/>
    <x:tableColumn id="3" name="模型/服务"/>
    <x:tableColumn id="4" name="状态"/>
    <x:tableColumn id="5" name="币种"/>
    <x:tableColumn id="6" name="计价单位"/>
    <x:tableColumn id="7" name="输入价"/>
    <x:tableColumn id="8" name="缓存命中价"/>
    <x:tableColumn id="9" name="缓存写入价"/>
    <x:tableColumn id="10" name="输出价"/>
    <x:tableColumn id="11" name="上下文/阶梯"/>
    <x:tableColumn id="12" name="其他费用/注意"/>
    <x:tableColumn id="13" name="查询日"/>
    <x:tableColumn id="14" name="价格来源"/>
    <x:tableColumn id="15" name="证据/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CalculatorTable" displayName="CostCalculatorTable" ref="A9:O51" headerRowCount="1" totalsRowCount="0" totalsRowShown="0">
  <x:autoFilter ref="A9:O51"/>
  <x:tableColumns count="15">
    <x:tableColumn id="1" name="区域"/>
    <x:tableColumn id="2" name="厂商"/>
    <x:tableColumn id="3" name="模型"/>
    <x:tableColumn id="4" name="币种"/>
    <x:tableColumn id="5" name="输入价/MTok"/>
    <x:tableColumn id="6" name="缓存价/MTok"/>
    <x:tableColumn id="7" name="输出价/MTok"/>
    <x:tableColumn id="8" name="业务通过率"/>
    <x:tableColumn id="9" name="月模型成本(原币)"/>
    <x:tableColumn id="10" name="月模型成本(CNY)"/>
    <x:tableColumn id="11" name="每千请求成本(CNY)"/>
    <x:tableColumn id="12" name="单位有效结果成本(CNY)"/>
    <x:tableColumn id="13" name="价格条件"/>
    <x:tableColumn id="14" name="价格来源"/>
    <x:tableColumn id="15" name="结论标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sTable" displayName="CasesTable" ref="A2:J27" headerRowCount="1" totalsRowCount="0" totalsRowShown="0">
  <x:autoFilter ref="A2:J27"/>
  <x:tableColumns count="10">
    <x:tableColumn id="1" name="领域"/>
    <x:tableColumn id="2" name="组织/项目"/>
    <x:tableColumn id="3" name="厂商"/>
    <x:tableColumn id="4" name="模型/底模"/>
    <x:tableColumn id="5" name="任务"/>
    <x:tableColumn id="6" name="公开指标/选择理由"/>
    <x:tableColumn id="7" name="证据等级"/>
    <x:tableColumn id="8" name="限制"/>
    <x:tableColumn id="9" name="时间"/>
    <x:tableColumn id="10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ariosTable" displayName="ScenariosTable" ref="A2:H14" headerRowCount="1" totalsRowCount="0" totalsRowShown="0">
  <x:autoFilter ref="A2:H14"/>
  <x:tableColumns count="8">
    <x:tableColumn id="1" name="场景"/>
    <x:tableColumn id="2" name="优先级"/>
    <x:tableColumn id="3" name="首轮候选"/>
    <x:tableColumn id="4" name="何时选择"/>
    <x:tableColumn id="5" name="为什么"/>
    <x:tableColumn id="6" name="隐藏成本/风险"/>
    <x:tableColumn id="7" name="核心 POC 指标"/>
    <x:tableColumn id="8" name="建议动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2:F153" headerRowCount="1" totalsRowCount="0" totalsRowShown="0">
  <x:autoFilter ref="A12:F153"/>
  <x:tableColumns count="6">
    <x:tableColumn id="1" name="类别"/>
    <x:tableColumn id="2" name="厂商/对象"/>
    <x:tableColumn id="3" name="支持内容"/>
    <x:tableColumn id="4" name="URL"/>
    <x:tableColumn id="5" name="查询日"/>
    <x:tableColumn id="6" name="证据/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ba52be44d5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697c6b33864a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0eca746c947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48b28f123a42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f31d9f087644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2e6df113d844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ea822b3e8744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4" t="str">
        <x:v>2023—2026 国内外大模型厂商全景（AI 产品经理版）</x:v>
      </x:c>
      <x:c r="B1" s="4" t="str">
        <x:v>2023—2026 国内外大模型厂商全景（AI 产品经理版）</x:v>
      </x:c>
      <x:c r="C1" s="4" t="str">
        <x:v>2023—2026 国内外大模型厂商全景（AI 产品经理版）</x:v>
      </x:c>
      <x:c r="D1" s="4" t="str">
        <x:v>2023—2026 国内外大模型厂商全景（AI 产品经理版）</x:v>
      </x:c>
      <x:c r="E1" s="4" t="str">
        <x:v>2023—2026 国内外大模型厂商全景（AI 产品经理版）</x:v>
      </x:c>
      <x:c r="F1" s="4" t="str">
        <x:v>2023—2026 国内外大模型厂商全景（AI 产品经理版）</x:v>
      </x:c>
      <x:c r="G1" s="4" t="str">
        <x:v>2023—2026 国内外大模型厂商全景（AI 产品经理版）</x:v>
      </x:c>
      <x:c r="H1" s="4" t="str">
        <x:v>2023—2026 国内外大模型厂商全景（AI 产品经理版）</x:v>
      </x:c>
      <x:c r="I1" s="4" t="str">
        <x:v>2023—2026 国内外大模型厂商全景（AI 产品经理版）</x:v>
      </x:c>
      <x:c r="J1" s="4" t="str">
        <x:v>2023—2026 国内外大模型厂商全景（AI 产品经理版）</x:v>
      </x:c>
      <x:c r="K1" s="4" t="str">
        <x:v>2023—2026 国内外大模型厂商全景（AI 产品经理版）</x:v>
      </x:c>
      <x:c r="L1" s="4" t="str">
        <x:v>2023—2026 国内外大模型厂商全景（AI 产品经理版）</x:v>
      </x:c>
    </x:row>
    <x:row r="2">
      <x:c r="A2" s="7" t="str">
        <x:v>研究日：2026-08-24｜范围：24 家代表厂商｜价格与产品为查询日快照，采购前请复核来源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2" customHeight="1">
      <x:c r="A4" s="14" t="str">
        <x:v>覆盖厂商</x:v>
      </x:c>
      <x:c r="B4" s="15" t="n">
        <x:f>COUNTA('厂商地图'!$B$3:$B$40)</x:f>
        <x:v>24</x:v>
      </x:c>
      <x:c r="D4" s="14" t="str">
        <x:v>时间轴节点</x:v>
      </x:c>
      <x:c r="E4" s="15" t="n">
        <x:f>COUNTA('模型时间轴'!$B$3:$B$160)</x:f>
        <x:v>96</x:v>
      </x:c>
      <x:c r="G4" s="14" t="str">
        <x:v>当前价格行</x:v>
      </x:c>
      <x:c r="H4" s="15" t="n">
        <x:f>COUNTA('当前定价'!$C$3:$C$90)</x:f>
        <x:v>44</x:v>
      </x:c>
      <x:c r="J4" s="14" t="str">
        <x:v>公开案例</x:v>
      </x:c>
      <x:c r="K4" s="15" t="n">
        <x:f>COUNTA('应用案例'!$B$3:$B$80)</x:f>
        <x:v>25</x:v>
      </x:c>
    </x:row>
    <x:row r="6">
      <x:c r="A6" s="17" t="str">
        <x:v>核心判断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</x:row>
    <x:row r="7" ht="42" customHeight="1">
      <x:c r="A7" s="55" t="str">
        <x:v>1</x:v>
      </x:c>
      <x:c r="B7" s="38" t="str">
        <x:v>2023 是“聊天与基础模型普及”，2024 是“多模态 + 长上下文 + 推理分层”，2025 是“Agent/代码与开放推理”，2026 则进入“模型系统、长期任务与价格/吞吐工程化”。</x:v>
      </x:c>
      <x:c r="C7" s="38"/>
      <x:c r="D7" s="38"/>
      <x:c r="E7" s="38"/>
      <x:c r="F7" s="38"/>
      <x:c r="G7" s="38"/>
      <x:c r="H7" s="38"/>
      <x:c r="I7" s="38"/>
      <x:c r="J7" s="38"/>
      <x:c r="K7" s="38"/>
      <x:c r="L7" s="39"/>
    </x:row>
    <x:row r="8" ht="42" customHeight="1">
      <x:c r="A8" s="56" t="str">
        <x:v>2</x:v>
      </x:c>
      <x:c r="B8" s="41" t="str">
        <x:v>选型不再是找一个“最强模型”，而是用旗舰做规划/难题、Flash/小模型做高频执行、专业模型处理 OCR/语音/图像，并用路由与评测控制成本。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2"/>
    </x:row>
    <x:row r="9" ht="42" customHeight="1">
      <x:c r="A9" s="56" t="str">
        <x:v>3</x:v>
      </x:c>
      <x:c r="B9" s="41" t="str">
        <x:v>智能客服的关键指标是解决率、引用正确率、转人工率和每个成功会话成本；开源私有化的关键指标是目标硬件吞吐、量化后通过率和 1—3 年 TCO。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2"/>
    </x:row>
    <x:row r="10" ht="42" customHeight="1">
      <x:c r="A10" s="57" t="str">
        <x:v>4</x:v>
      </x:c>
      <x:c r="B10" s="44" t="str">
        <x:v>当前公开价格差异巨大，但上下文阶梯、缓存命中、思考 tokens、搜索/工具和失败重试足以改变排序；工作簿的成本计算器用于统一口径。</x:v>
      </x:c>
      <x:c r="C10" s="44"/>
      <x:c r="D10" s="44"/>
      <x:c r="E10" s="44"/>
      <x:c r="F10" s="44"/>
      <x:c r="G10" s="44"/>
      <x:c r="H10" s="44"/>
      <x:c r="I10" s="44"/>
      <x:c r="J10" s="44"/>
      <x:c r="K10" s="44"/>
      <x:c r="L10" s="45"/>
    </x:row>
    <x:row r="12">
      <x:c r="A12" s="17" t="str">
        <x:v>场景速选（不是榜单，必须用自有任务集复测）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>
      <x:c r="A13" s="60" t="str">
        <x:v>场景</x:v>
      </x:c>
      <x:c r="B13" s="60"/>
      <x:c r="C13" s="60"/>
      <x:c r="D13" s="60" t="str">
        <x:v>首轮短名单</x:v>
      </x:c>
      <x:c r="E13" s="60"/>
      <x:c r="F13" s="60"/>
      <x:c r="G13" s="60" t="str">
        <x:v>为什么</x:v>
      </x:c>
      <x:c r="H13" s="60"/>
      <x:c r="I13" s="60"/>
      <x:c r="J13" s="60" t="str">
        <x:v>最关键验证</x:v>
      </x:c>
      <x:c r="K13" s="60"/>
      <x:c r="L13" s="60"/>
    </x:row>
    <x:row r="14" ht="58" customHeight="1">
      <x:c r="A14" s="64" t="str">
        <x:v>复杂推理/代码 Agent</x:v>
      </x:c>
      <x:c r="B14" s="64"/>
      <x:c r="C14" s="64"/>
      <x:c r="D14" s="64" t="str">
        <x:v>GPT-5.6 Sol；Claude；Grok 4.6；GLM-5.2；DeepSeek V4 Pro；Kimi K3</x:v>
      </x:c>
      <x:c r="E14" s="64"/>
      <x:c r="F14" s="64"/>
      <x:c r="G14" s="64" t="str">
        <x:v>前沿推理、代码与工具生态</x:v>
      </x:c>
      <x:c r="H14" s="64"/>
      <x:c r="I14" s="64"/>
      <x:c r="J14" s="64" t="str">
        <x:v>真实任务成功率、步骤数、每成功任务成本</x:v>
      </x:c>
      <x:c r="K14" s="64"/>
      <x:c r="L14" s="64"/>
    </x:row>
    <x:row r="15" ht="58" customHeight="1">
      <x:c r="A15" s="64" t="str">
        <x:v>低成本高并发</x:v>
      </x:c>
      <x:c r="B15" s="64"/>
      <x:c r="C15" s="64"/>
      <x:c r="D15" s="64" t="str">
        <x:v>GPT-5.6 Luna；Gemini Flash-Lite；Mistral Small；DeepSeek V4 Flash；Step Flash；ERNIE Turbo</x:v>
      </x:c>
      <x:c r="E15" s="64"/>
      <x:c r="F15" s="64"/>
      <x:c r="G15" s="64" t="str">
        <x:v>输入/输出单价和吞吐更友好</x:v>
      </x:c>
      <x:c r="H15" s="64"/>
      <x:c r="I15" s="64"/>
      <x:c r="J15" s="64" t="str">
        <x:v>业务通过率、P95、缓存命中、429率</x:v>
      </x:c>
      <x:c r="K15" s="64"/>
      <x:c r="L15" s="64"/>
    </x:row>
    <x:row r="16" ht="58" customHeight="1">
      <x:c r="A16" s="64" t="str">
        <x:v>客服/RAG</x:v>
      </x:c>
      <x:c r="B16" s="64"/>
      <x:c r="C16" s="64"/>
      <x:c r="D16" s="64" t="str">
        <x:v>Claude/Cohere/Gemini；Qwen/千帆/混元/GLM；讯飞语音</x:v>
      </x:c>
      <x:c r="E16" s="64"/>
      <x:c r="F16" s="64"/>
      <x:c r="G16" s="64" t="str">
        <x:v>检索、引用、安全与工具流程更重要</x:v>
      </x:c>
      <x:c r="H16" s="64"/>
      <x:c r="I16" s="64"/>
      <x:c r="J16" s="64" t="str">
        <x:v>解决率、引用正确率、转人工率、CSAT</x:v>
      </x:c>
      <x:c r="K16" s="64"/>
      <x:c r="L16" s="64"/>
    </x:row>
    <x:row r="17" ht="58" customHeight="1">
      <x:c r="A17" s="64" t="str">
        <x:v>私有化/端侧</x:v>
      </x:c>
      <x:c r="B17" s="64"/>
      <x:c r="C17" s="64"/>
      <x:c r="D17" s="64" t="str">
        <x:v>Llama/Phi/Mistral/Nemotron；Qwen/DeepSeek/GLM/Step；盘古/讯飞方案</x:v>
      </x:c>
      <x:c r="E17" s="64"/>
      <x:c r="F17" s="64"/>
      <x:c r="G17" s="64" t="str">
        <x:v>数据控制、固定版本、领域适配与国产化</x:v>
      </x:c>
      <x:c r="H17" s="64"/>
      <x:c r="I17" s="64"/>
      <x:c r="J17" s="64" t="str">
        <x:v>目标硬件吞吐、量化损失、3 年 TCO、许可证</x:v>
      </x:c>
      <x:c r="K17" s="64"/>
      <x:c r="L17" s="64"/>
    </x:row>
    <x:row r="18" ht="58" customHeight="1">
      <x:c r="A18" s="64" t="str">
        <x:v>多模态/内容</x:v>
      </x:c>
      <x:c r="B18" s="64"/>
      <x:c r="C18" s="64"/>
      <x:c r="D18" s="64" t="str">
        <x:v>Gemini/OpenAI/Claude；Seed/MiniMax/SenseNova/Qwen-VL/GLM-V</x:v>
      </x:c>
      <x:c r="E18" s="64"/>
      <x:c r="F18" s="64"/>
      <x:c r="G18" s="64" t="str">
        <x:v>原生多模态或专业生成模型降低级联误差</x:v>
      </x:c>
      <x:c r="H18" s="64"/>
      <x:c r="I18" s="64"/>
      <x:c r="J18" s="64" t="str">
        <x:v>一次可用率、每页/每条成本、版权与人工修改</x:v>
      </x:c>
      <x:c r="K18" s="64"/>
      <x:c r="L18" s="64"/>
    </x:row>
    <x:row r="20">
      <x:c r="A20" s="67" t="str">
        <x:v>阅读顺序：厂商地图 → 模型时间轴 → 当前定价 → 成本计算器 → 应用案例 → 场景选型 → 资料来源</x:v>
      </x:c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</x:row>
  </x:sheetData>
  <x:mergeCells>
    <x:mergeCell ref="A1:L1"/>
    <x:mergeCell ref="A2:L2"/>
    <x:mergeCell ref="A6:L6"/>
    <x:mergeCell ref="B7:L7"/>
    <x:mergeCell ref="B8:L8"/>
    <x:mergeCell ref="B9:L9"/>
    <x:mergeCell ref="B10:L10"/>
    <x:mergeCell ref="A12:L12"/>
    <x:mergeCell ref="A13:C13"/>
    <x:mergeCell ref="D13:F13"/>
    <x:mergeCell ref="G13:I13"/>
    <x:mergeCell ref="J13:L13"/>
    <x:mergeCell ref="A14:C14"/>
    <x:mergeCell ref="D14:F14"/>
    <x:mergeCell ref="G14:I14"/>
    <x:mergeCell ref="J14:L14"/>
    <x:mergeCell ref="A15:C15"/>
    <x:mergeCell ref="D15:F15"/>
    <x:mergeCell ref="G15:I15"/>
    <x:mergeCell ref="J15:L15"/>
    <x:mergeCell ref="A16:C16"/>
    <x:mergeCell ref="D16:F16"/>
    <x:mergeCell ref="G16:I16"/>
    <x:mergeCell ref="J16:L16"/>
    <x:mergeCell ref="A17:C17"/>
    <x:mergeCell ref="D17:F17"/>
    <x:mergeCell ref="G17:I17"/>
    <x:mergeCell ref="J17:L17"/>
    <x:mergeCell ref="A18:C18"/>
    <x:mergeCell ref="D18:F18"/>
    <x:mergeCell ref="G18:I18"/>
    <x:mergeCell ref="J18:L18"/>
    <x:mergeCell ref="A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32" hidden="0" customWidth="1"/>
    <x:col min="5" max="5" width="30" hidden="0" customWidth="1"/>
    <x:col min="6" max="6" width="28" hidden="0" customWidth="1"/>
    <x:col min="7" max="7" width="18" hidden="0" customWidth="1"/>
    <x:col min="8" max="8" width="24" hidden="0" customWidth="1"/>
    <x:col min="9" max="9" width="34" hidden="0" customWidth="1"/>
    <x:col min="10" max="10" width="28" hidden="0" customWidth="1"/>
    <x:col min="11" max="11" width="46" hidden="0" customWidth="1"/>
    <x:col min="12" max="12" width="30" hidden="0" customWidth="1"/>
  </x:cols>
  <x:sheetData>
    <x:row r="1" ht="32" customHeight="1">
      <x:c r="A1" s="4" t="str">
        <x:v>24 家代表厂商：定位、当前模型、产品与价格快照</x:v>
      </x:c>
      <x:c r="B1" s="4" t="str">
        <x:v>24 家代表厂商：定位、当前模型、产品与价格快照</x:v>
      </x:c>
      <x:c r="C1" s="4" t="str">
        <x:v>24 家代表厂商：定位、当前模型、产品与价格快照</x:v>
      </x:c>
      <x:c r="D1" s="4" t="str">
        <x:v>24 家代表厂商：定位、当前模型、产品与价格快照</x:v>
      </x:c>
      <x:c r="E1" s="4" t="str">
        <x:v>24 家代表厂商：定位、当前模型、产品与价格快照</x:v>
      </x:c>
      <x:c r="F1" s="4" t="str">
        <x:v>24 家代表厂商：定位、当前模型、产品与价格快照</x:v>
      </x:c>
      <x:c r="G1" s="4" t="str">
        <x:v>24 家代表厂商：定位、当前模型、产品与价格快照</x:v>
      </x:c>
      <x:c r="H1" s="4" t="str">
        <x:v>24 家代表厂商：定位、当前模型、产品与价格快照</x:v>
      </x:c>
      <x:c r="I1" s="4" t="str">
        <x:v>24 家代表厂商：定位、当前模型、产品与价格快照</x:v>
      </x:c>
      <x:c r="J1" s="4" t="str">
        <x:v>24 家代表厂商：定位、当前模型、产品与价格快照</x:v>
      </x:c>
      <x:c r="K1" s="4" t="str">
        <x:v>24 家代表厂商：定位、当前模型、产品与价格快照</x:v>
      </x:c>
      <x:c r="L1" s="4" t="str">
        <x:v>24 家代表厂商：定位、当前模型、产品与价格快照</x:v>
      </x:c>
    </x:row>
    <x:row r="2" ht="30" customHeight="1">
      <x:c r="A2" s="70" t="str">
        <x:v>区域</x:v>
      </x:c>
      <x:c r="B2" s="70" t="str">
        <x:v>厂商</x:v>
      </x:c>
      <x:c r="C2" s="70" t="str">
        <x:v>2023—2026 发展简介</x:v>
      </x:c>
      <x:c r="D2" s="70" t="str">
        <x:v>当前代表模型</x:v>
      </x:c>
      <x:c r="E2" s="70" t="str">
        <x:v>对应产品/入口</x:v>
      </x:c>
      <x:c r="F2" s="70" t="str">
        <x:v>核心优势</x:v>
      </x:c>
      <x:c r="G2" s="70" t="str">
        <x:v>开放性</x:v>
      </x:c>
      <x:c r="H2" s="70" t="str">
        <x:v>部署形态</x:v>
      </x:c>
      <x:c r="I2" s="70" t="str">
        <x:v>当前价格摘要</x:v>
      </x:c>
      <x:c r="J2" s="70" t="str">
        <x:v>适用场景</x:v>
      </x:c>
      <x:c r="K2" s="70" t="str">
        <x:v>官网/官方文档</x:v>
      </x:c>
      <x:c r="L2" s="70" t="str">
        <x:v>证据/限制</x:v>
      </x:c>
    </x:row>
    <x:row r="3" ht="54" customHeight="1">
      <x:c r="A3" s="87" t="str">
        <x:v>海外</x:v>
      </x:c>
      <x:c r="B3" s="88" t="str">
        <x:v>OpenAI</x:v>
      </x:c>
      <x:c r="C3" s="88" t="str">
        <x:v>从 GPT-4 的多模态能力，演进到 GPT-4o 的实时多模态、o1 的推理范式，再到 GPT-5/5.6 的统一推理与 Agent 工具栈。</x:v>
      </x:c>
      <x:c r="D3" s="88" t="str">
        <x:v>GPT-5.6 Sol / Terra / Luna；GPT-Realtime-2.1；GPT-Image-2</x:v>
      </x:c>
      <x:c r="E3" s="88" t="str">
        <x:v>ChatGPT、Responses API、Codex、Sora</x:v>
      </x:c>
      <x:c r="F3" s="88" t="str">
        <x:v>复杂推理、代码、工具调用、计算机使用、多模态</x:v>
      </x:c>
      <x:c r="G3" s="88" t="str">
        <x:v>闭源</x:v>
      </x:c>
      <x:c r="H3" s="88" t="str">
        <x:v>第一方 API；云市场渠道</x:v>
      </x:c>
      <x:c r="I3" s="88" t="str">
        <x:v>Sol $4/$20；Terra $2/$12；Luna $0.2/$1.2（输入/输出，USD/百万tokens）</x:v>
      </x:c>
      <x:c r="J3" s="88" t="str">
        <x:v>高难知识工作、代码 Agent、通用智能体、高并发分层路由</x:v>
      </x:c>
      <x:c r="K3" s="95" t="str">
        <x:v>https://developers.openai.com/api/docs/models</x:v>
      </x:c>
      <x:c r="L3" s="89" t="str">
        <x:v>【公开事实】当前目录与价格按查询日快照</x:v>
      </x:c>
    </x:row>
    <x:row r="4" ht="54" customHeight="1">
      <x:c r="A4" s="90" t="str">
        <x:v>海外</x:v>
      </x:c>
      <x:c r="B4" s="64" t="str">
        <x:v>Anthropic</x:v>
      </x:c>
      <x:c r="C4" s="64" t="str">
        <x:v>从 Claude 2 的长上下文与安全定位，发展到 Claude 3/3.5 的分层模型，再到 Claude 4/5 的长周期 Agent 与编码能力。</x:v>
      </x:c>
      <x:c r="D4" s="64" t="str">
        <x:v>Claude Fable 5 / Opus 5 / Sonnet 5 / Haiku 4.5</x:v>
      </x:c>
      <x:c r="E4" s="64" t="str">
        <x:v>Claude、Claude Code、Claude Platform、Managed Agents</x:v>
      </x:c>
      <x:c r="F4" s="64" t="str">
        <x:v>长任务、编码、企业安全、长上下文、工具使用</x:v>
      </x:c>
      <x:c r="G4" s="64" t="str">
        <x:v>闭源</x:v>
      </x:c>
      <x:c r="H4" s="64" t="str">
        <x:v>Claude API；AWS、Google Cloud、Microsoft Foundry</x:v>
      </x:c>
      <x:c r="I4" s="64" t="str">
        <x:v>Sonnet 5 $2/$10；Opus 5 $5/$25；缓存读约基础输入价 0.1×</x:v>
      </x:c>
      <x:c r="J4" s="64" t="str">
        <x:v>复杂编码、企业 Agent、知识工作、需强安全控制的应用</x:v>
      </x:c>
      <x:c r="K4" s="96" t="str">
        <x:v>https://platform.claude.com/docs/en/home</x:v>
      </x:c>
      <x:c r="L4" s="91" t="str">
        <x:v>【公开事实】注意缓存写入与地域溢价</x:v>
      </x:c>
    </x:row>
    <x:row r="5" ht="54" customHeight="1">
      <x:c r="A5" s="90" t="str">
        <x:v>海外</x:v>
      </x:c>
      <x:c r="B5" s="64" t="str">
        <x:v>Google DeepMind</x:v>
      </x:c>
      <x:c r="C5" s="64" t="str">
        <x:v>以 Gemini 1 建立原生多模态路线，Gemini 1.5 扩展长上下文，2.x/3.x 进一步强化推理、搜索 Grounding、实时与 Agent。</x:v>
      </x:c>
      <x:c r="D5" s="64" t="str">
        <x:v>Gemini 3.1 Pro / 3.7 Flash / 3.5 Flash-Lite；Gemma</x:v>
      </x:c>
      <x:c r="E5" s="64" t="str">
        <x:v>Gemini、AI Studio、Vertex AI、Workspace、Android/Pixel</x:v>
      </x:c>
      <x:c r="F5" s="64" t="str">
        <x:v>原生多模态、搜索、长上下文、实时语音、端云协同</x:v>
      </x:c>
      <x:c r="G5" s="64" t="str">
        <x:v>闭源 + 开放权重 Gemma</x:v>
      </x:c>
      <x:c r="H5" s="64" t="str">
        <x:v>Gemini API、Vertex AI、端侧</x:v>
      </x:c>
      <x:c r="I5" s="64" t="str">
        <x:v>3.7 Flash 促销 $0.75/$3.75；3.5 Flash-Lite $0.30/$2.50</x:v>
      </x:c>
      <x:c r="J5" s="64" t="str">
        <x:v>搜索增强、多模态文档、Workspace、端侧与高吞吐</x:v>
      </x:c>
      <x:c r="K5" s="96" t="str">
        <x:v>https://ai.google.dev/gemini-api/docs/models</x:v>
      </x:c>
      <x:c r="L5" s="91" t="str">
        <x:v>【公开事实】搜索/地图 Grounding 另收费</x:v>
      </x:c>
    </x:row>
    <x:row r="6" ht="54" customHeight="1">
      <x:c r="A6" s="90" t="str">
        <x:v>海外</x:v>
      </x:c>
      <x:c r="B6" s="64" t="str">
        <x:v>Meta</x:v>
      </x:c>
      <x:c r="C6" s="64" t="str">
        <x:v>以 Llama 2/3/4 建立开放权重生态，支持微调、私有化与云端托管；消费产品由 Meta AI 和眼镜等终端承接。</x:v>
      </x:c>
      <x:c r="D6" s="64" t="str">
        <x:v>Llama 4 Scout/Maverick；Muse Spark</x:v>
      </x:c>
      <x:c r="E6" s="64" t="str">
        <x:v>Meta AI、WhatsApp/Instagram/Facebook、Ray-Ban Meta</x:v>
      </x:c>
      <x:c r="F6" s="64" t="str">
        <x:v>开放生态、可控私有化、微调、端侧与云端可移植性</x:v>
      </x:c>
      <x:c r="G6" s="64" t="str">
        <x:v>开放权重（许可证有条件）+ 部分闭源</x:v>
      </x:c>
      <x:c r="H6" s="64" t="str">
        <x:v>自建、云厂商托管、端侧</x:v>
      </x:c>
      <x:c r="I6" s="64" t="str">
        <x:v>无统一第一方 API 标价；权重不收费但需承担算力和运维</x:v>
      </x:c>
      <x:c r="J6" s="64" t="str">
        <x:v>行业微调、私有部署、客服、端侧助手、合成数据</x:v>
      </x:c>
      <x:c r="K6" s="96" t="str">
        <x:v>https://ai.meta.com/llama/</x:v>
      </x:c>
      <x:c r="L6" s="91" t="str">
        <x:v>【公开事实】开放权重不等于零成本</x:v>
      </x:c>
    </x:row>
    <x:row r="7" ht="54" customHeight="1">
      <x:c r="A7" s="90" t="str">
        <x:v>海外</x:v>
      </x:c>
      <x:c r="B7" s="64" t="str">
        <x:v>xAI / SpaceXAI</x:v>
      </x:c>
      <x:c r="C7" s="64" t="str">
        <x:v>从 Grok 1 的实时信息与 X 数据差异化，演进到 Grok 3/4 的推理与代码，再到 Grok 4.6、Voice、Imagine 与 Build。</x:v>
      </x:c>
      <x:c r="D7" s="64" t="str">
        <x:v>Grok 4.6；Grok Voice Think Fast 2.0；Imagine 2.0</x:v>
      </x:c>
      <x:c r="E7" s="64" t="str">
        <x:v>Grok、Grok Build、Grok Voice、Imagine、X</x:v>
      </x:c>
      <x:c r="F7" s="64" t="str">
        <x:v>实时搜索、代码 Agent、低价推理、语音与创作</x:v>
      </x:c>
      <x:c r="G7" s="64" t="str">
        <x:v>闭源</x:v>
      </x:c>
      <x:c r="H7" s="64" t="str">
        <x:v>xAI API、Bedrock/Vertex 等渠道</x:v>
      </x:c>
      <x:c r="I7" s="64" t="str">
        <x:v>Grok 4.6 $2/$6，缓存 $0.5；&gt;200K 请求价格翻倍</x:v>
      </x:c>
      <x:c r="J7" s="64" t="str">
        <x:v>代码/Agent、实时信息、语音客服、图像视频生成</x:v>
      </x:c>
      <x:c r="K7" s="96" t="str">
        <x:v>https://docs.x.ai/developers/models/grok-4.6</x:v>
      </x:c>
      <x:c r="L7" s="91" t="str">
        <x:v>【公开事实】长上下文与工具调用另计</x:v>
      </x:c>
    </x:row>
    <x:row r="8" ht="54" customHeight="1">
      <x:c r="A8" s="90" t="str">
        <x:v>海外</x:v>
      </x:c>
      <x:c r="B8" s="64" t="str">
        <x:v>Mistral AI</x:v>
      </x:c>
      <x:c r="C8" s="64" t="str">
        <x:v>从 Mistral 7B/Mixtral 的开放权重切入，扩展到 Large、Codestral、OCR、Voxtral 与 Le Chat/Vibe，强调欧洲主权 AI。</x:v>
      </x:c>
      <x:c r="D8" s="64" t="str">
        <x:v>Mistral Medium 3.5 / Small 4 / Large 3；OCR 4.1</x:v>
      </x:c>
      <x:c r="E8" s="64" t="str">
        <x:v>Le Chat、La Plateforme、Vibe、Studio、Forge</x:v>
      </x:c>
      <x:c r="F8" s="64" t="str">
        <x:v>开放权重、低成本、代码、文档 OCR、主权部署</x:v>
      </x:c>
      <x:c r="G8" s="64" t="str">
        <x:v>开放权重 + 商业模型</x:v>
      </x:c>
      <x:c r="H8" s="64" t="str">
        <x:v>API、VPC、私有化、自建</x:v>
      </x:c>
      <x:c r="I8" s="64" t="str">
        <x:v>Small 4 $0.15/$0.60；Large 3 $0.50/$1.50</x:v>
      </x:c>
      <x:c r="J8" s="64" t="str">
        <x:v>低成本 Agent、文档智能、代码、欧洲数据主权</x:v>
      </x:c>
      <x:c r="K8" s="96" t="str">
        <x:v>https://docs.mistral.ai/models</x:v>
      </x:c>
      <x:c r="L8" s="91" t="str">
        <x:v>【公开事实】兼顾 API 与权重部署</x:v>
      </x:c>
    </x:row>
    <x:row r="9" ht="54" customHeight="1">
      <x:c r="A9" s="90" t="str">
        <x:v>海外</x:v>
      </x:c>
      <x:c r="B9" s="64" t="str">
        <x:v>Cohere</x:v>
      </x:c>
      <x:c r="C9" s="64" t="str">
        <x:v>聚焦企业数据上的 RAG、检索、重排、跨语言与私有部署，模型从 Command R/R+ 演进到 Command A/A+ 与 North。</x:v>
      </x:c>
      <x:c r="D9" s="64" t="str">
        <x:v>Command A+ / A；Embed 4；Rerank 4；North</x:v>
      </x:c>
      <x:c r="E9" s="64" t="str">
        <x:v>Cohere Platform、North、Model Vault</x:v>
      </x:c>
      <x:c r="F9" s="64" t="str">
        <x:v>企业 RAG、引用、检索/重排、多语言、数据驻留</x:v>
      </x:c>
      <x:c r="G9" s="64" t="str">
        <x:v>闭源 + 可私有部署</x:v>
      </x:c>
      <x:c r="H9" s="64" t="str">
        <x:v>API、云市场、VPC/本地 Vault</x:v>
      </x:c>
      <x:c r="I9" s="64" t="str">
        <x:v>Command A+ 约 $2.5/$10；私有 Vault 按实例/承诺计费</x:v>
      </x:c>
      <x:c r="J9" s="64" t="str">
        <x:v>企业搜索、知识库、客服、主权/保密部署</x:v>
      </x:c>
      <x:c r="K9" s="96" t="str">
        <x:v>https://docs.cohere.com/docs/models</x:v>
      </x:c>
      <x:c r="L9" s="91" t="str">
        <x:v>【公开事实】适合把生成与检索组件组合评测</x:v>
      </x:c>
    </x:row>
    <x:row r="10" ht="54" customHeight="1">
      <x:c r="A10" s="90" t="str">
        <x:v>海外</x:v>
      </x:c>
      <x:c r="B10" s="64" t="str">
        <x:v>Amazon / AWS</x:v>
      </x:c>
      <x:c r="C10" s="64" t="str">
        <x:v>Bedrock 作为多模型托管入口，Amazon 自研从 Titan 扩展至 Nova 的理解、创作、实时语音与定制模型。</x:v>
      </x:c>
      <x:c r="D10" s="64" t="str">
        <x:v>Nova 2 Lite / Sonic；Nova Premier；Nova Forge</x:v>
      </x:c>
      <x:c r="E10" s="64" t="str">
        <x:v>Amazon Bedrock、Amazon Q、Nova Act/Forge</x:v>
      </x:c>
      <x:c r="F10" s="64" t="str">
        <x:v>云原生托管、模型选择、企业安全、RAG、实时语音</x:v>
      </x:c>
      <x:c r="G10" s="64" t="str">
        <x:v>闭源</x:v>
      </x:c>
      <x:c r="H10" s="64" t="str">
        <x:v>Amazon Bedrock、SageMaker</x:v>
      </x:c>
      <x:c r="I10" s="64" t="str">
        <x:v>价格随区域/推理档位变化；旧 Nova Lite 约 $0.06/$0.24</x:v>
      </x:c>
      <x:c r="J10" s="64" t="str">
        <x:v>AWS 既有客户、客服/RAG、多模型路由、语音应用</x:v>
      </x:c>
      <x:c r="K10" s="96" t="str">
        <x:v>https://aws.amazon.com/bedrock/</x:v>
      </x:c>
      <x:c r="L10" s="91" t="str">
        <x:v>【公开事实】Bedrock 案例常使用第三方底模</x:v>
      </x:c>
    </x:row>
    <x:row r="11" ht="54" customHeight="1">
      <x:c r="A11" s="90" t="str">
        <x:v>海外</x:v>
      </x:c>
      <x:c r="B11" s="64" t="str">
        <x:v>Microsoft（Phi/MAI）</x:v>
      </x:c>
      <x:c r="C11" s="64" t="str">
        <x:v>Phi 路线强调小模型与端侧；MAI 路线面向 Copilot 的自研闭源前沿模型，并与 Azure 模型目录形成组合。</x:v>
      </x:c>
      <x:c r="D11" s="64" t="str">
        <x:v>Phi-4 Reasoning Vision；MAI-1 / MAI-Voice</x:v>
      </x:c>
      <x:c r="E11" s="64" t="str">
        <x:v>Microsoft Copilot、Azure AI Foundry、Windows/Edge</x:v>
      </x:c>
      <x:c r="F11" s="64" t="str">
        <x:v>端侧小模型、企业集成、语音与生产力工具</x:v>
      </x:c>
      <x:c r="G11" s="64" t="str">
        <x:v>开放权重 Phi + 闭源 MAI</x:v>
      </x:c>
      <x:c r="H11" s="64" t="str">
        <x:v>本地/端侧、Azure、Copilot</x:v>
      </x:c>
      <x:c r="I11" s="64" t="str">
        <x:v>Phi 权重无按 token 许可费；托管成本按 Azure 部署计</x:v>
      </x:c>
      <x:c r="J11" s="64" t="str">
        <x:v>端侧、离线、轻量代码/视觉、微软生态应用</x:v>
      </x:c>
      <x:c r="K11" s="96" t="str">
        <x:v>https://microsoft.ai/news/introducing-mai-1-preview-and-mai-voice-1/</x:v>
      </x:c>
      <x:c r="L11" s="91" t="str">
        <x:v>【公开事实】MAI 生产 API 价未统一公开</x:v>
      </x:c>
    </x:row>
    <x:row r="12" ht="54" customHeight="1">
      <x:c r="A12" s="90" t="str">
        <x:v>海外</x:v>
      </x:c>
      <x:c r="B12" s="64" t="str">
        <x:v>NVIDIA（Nemotron）</x:v>
      </x:c>
      <x:c r="C12" s="64" t="str">
        <x:v>由基于既有底模的后训练与合成数据路线，发展为 Nemotron 3 的开放 Agent 模型栈，覆盖规划、执行、多模态、RAG 与安全。</x:v>
      </x:c>
      <x:c r="D12" s="64" t="str">
        <x:v>Nemotron 3 Ultra / Super / 3.5 Lightning / Nano Omni</x:v>
      </x:c>
      <x:c r="E12" s="64" t="str">
        <x:v>NeMo、NIM、AI Enterprise、Blueprints</x:v>
      </x:c>
      <x:c r="F12" s="64" t="str">
        <x:v>高吞吐 Agent、开放数据/配方、GPU 优化、私有部署</x:v>
      </x:c>
      <x:c r="G12" s="64" t="str">
        <x:v>开放模型（许可需核对）</x:v>
      </x:c>
      <x:c r="H12" s="64" t="str">
        <x:v>NIM、自建 GPU、云端、边缘</x:v>
      </x:c>
      <x:c r="I12" s="64" t="str">
        <x:v>无统一按 token 第一方价；按 GPU/NIM/AI Enterprise 计</x:v>
      </x:c>
      <x:c r="J12" s="64" t="str">
        <x:v>长周期 Agent、私有化、高吞吐执行层、多模态 RAG</x:v>
      </x:c>
      <x:c r="K12" s="96" t="str">
        <x:v>https://www.nvidia.com/en-us/ai-data-science/foundation-models/nemotron/</x:v>
      </x:c>
      <x:c r="L12" s="91" t="str">
        <x:v>【公开事实】应测算 GPU 利用率与运维 TCO</x:v>
      </x:c>
    </x:row>
    <x:row r="13" ht="54" customHeight="1">
      <x:c r="A13" s="90" t="str">
        <x:v>国内</x:v>
      </x:c>
      <x:c r="B13" s="64" t="str">
        <x:v>阿里云 / 通义千问 Qwen</x:v>
      </x:c>
      <x:c r="C13" s="64" t="str">
        <x:v>从 Qwen-7B/VL 开源起步，形成通用、代码、视觉、音频、数学的开放生态；Qwen3 后强化混合思考和 Agent。</x:v>
      </x:c>
      <x:c r="D13" s="64" t="str">
        <x:v>Qwen3.8-Max / Qwen3-Max / Qwen3-Coder；开放 Qwen 系列</x:v>
      </x:c>
      <x:c r="E13" s="64" t="str">
        <x:v>千问、Qwen Chat、QwenWork、阿里云百炼、钉钉/通义生态</x:v>
      </x:c>
      <x:c r="F13" s="64" t="str">
        <x:v>中文、代码、Agent、全模态、开放权重与云上工具链</x:v>
      </x:c>
      <x:c r="G13" s="64" t="str">
        <x:v>开放权重 + 商业 API</x:v>
      </x:c>
      <x:c r="H13" s="64" t="str">
        <x:v>百炼 API、开源自建、专属部署</x:v>
      </x:c>
      <x:c r="I13" s="64" t="str">
        <x:v>Qwen3.8-Max ¥12/¥36；Qwen3-Max ≤32K ¥2.5/¥10</x:v>
      </x:c>
      <x:c r="J13" s="64" t="str">
        <x:v>中文 Agent、代码、企业知识、私有化、底模微调</x:v>
      </x:c>
      <x:c r="K13" s="96" t="str">
        <x:v>https://qwenlm.github.io/</x:v>
      </x:c>
      <x:c r="L13" s="91" t="str">
        <x:v>【公开事实】上下文长度会触发阶梯价</x:v>
      </x:c>
    </x:row>
    <x:row r="14" ht="54" customHeight="1">
      <x:c r="A14" s="90" t="str">
        <x:v>国内</x:v>
      </x:c>
      <x:c r="B14" s="64" t="str">
        <x:v>百度 / 文心 ERNIE</x:v>
      </x:c>
      <x:c r="C14" s="64" t="str">
        <x:v>从文心一言与 ERNIE 3.5/4.0，扩展到 4.5 的多模态与 X1 推理，再到 5.x 的统一全模态与 Agent。</x:v>
      </x:c>
      <x:c r="D14" s="64" t="str">
        <x:v>ERNIE 5.1 / 5.0；ERNIE 4.5 Turbo；X1.1</x:v>
      </x:c>
      <x:c r="E14" s="64" t="str">
        <x:v>文小言、百度搜索、百度文库、千帆大模型平台</x:v>
      </x:c>
      <x:c r="F14" s="64" t="str">
        <x:v>中文知识、搜索、企业 RAG、Agent、全模态与私有化</x:v>
      </x:c>
      <x:c r="G14" s="64" t="str">
        <x:v>闭源 + 部分开放</x:v>
      </x:c>
      <x:c r="H14" s="64" t="str">
        <x:v>千帆 API、专属资源、私有化</x:v>
      </x:c>
      <x:c r="I14" s="64" t="str">
        <x:v>ERNIE 5.1 ≤32K ¥4/¥18；4.5 Turbo ¥0.8/¥3.2</x:v>
      </x:c>
      <x:c r="J14" s="64" t="str">
        <x:v>政企知识库、客服、搜索、内容与多模态应用</x:v>
      </x:c>
      <x:c r="K14" s="96" t="str">
        <x:v>https://cloud.baidu.com/product-s/qianfan_home</x:v>
      </x:c>
      <x:c r="L14" s="91" t="str">
        <x:v>【公开事实】千帆还托管第三方模型</x:v>
      </x:c>
    </x:row>
    <x:row r="15" ht="54" customHeight="1">
      <x:c r="A15" s="90" t="str">
        <x:v>国内</x:v>
      </x:c>
      <x:c r="B15" s="64" t="str">
        <x:v>字节跳动 / 豆包 Seed</x:v>
      </x:c>
      <x:c r="C15" s="64" t="str">
        <x:v>依托豆包、抖音与火山引擎形成大规模产品反馈，模型覆盖通用 Agent、代码、语音、图像与视频。</x:v>
      </x:c>
      <x:c r="D15" s="64" t="str">
        <x:v>Doubao Seed 2.1 / 2.0；Seedance 2.5；Seedream 5</x:v>
      </x:c>
      <x:c r="E15" s="64" t="str">
        <x:v>豆包、TRAE、扣子、即梦、火山方舟</x:v>
      </x:c>
      <x:c r="F15" s="64" t="str">
        <x:v>高并发、Agent、代码、实时语音、图像视频全链路</x:v>
      </x:c>
      <x:c r="G15" s="64" t="str">
        <x:v>闭源 + 部分开放</x:v>
      </x:c>
      <x:c r="H15" s="64" t="str">
        <x:v>火山方舟 API、批量、缓存、专属部署</x:v>
      </x:c>
      <x:c r="I15" s="64" t="str">
        <x:v>Seed 2.1 Pro 约 ¥6/¥30；Turbo 约 ¥3/¥15</x:v>
      </x:c>
      <x:c r="J15" s="64" t="str">
        <x:v>C 端助手、代码、营销内容、客服、视频/图像生产</x:v>
      </x:c>
      <x:c r="K15" s="96" t="str">
        <x:v>https://seed.bytedance.com/</x:v>
      </x:c>
      <x:c r="L15" s="91" t="str">
        <x:v>【公开事实】活动/节省计划价需与刊例价分开</x:v>
      </x:c>
    </x:row>
    <x:row r="16" ht="54" customHeight="1">
      <x:c r="A16" s="90" t="str">
        <x:v>国内</x:v>
      </x:c>
      <x:c r="B16" s="64" t="str">
        <x:v>腾讯 / 混元 Hy</x:v>
      </x:c>
      <x:c r="C16" s="64" t="str">
        <x:v>从 2023 通用大模型，发展到 T1/Turbo S 推理与 Hy3 Agent；同时延伸图片、视频、3D 等生成能力。</x:v>
      </x:c>
      <x:c r="D16" s="64" t="str">
        <x:v>Hy3；混元图像/视频/3D；腾讯代码模型</x:v>
      </x:c>
      <x:c r="E16" s="64" t="str">
        <x:v>腾讯元宝、ima、WorkBuddy、CodeBuddy、TokenHub、微信/腾讯云生态</x:v>
      </x:c>
      <x:c r="F16" s="64" t="str">
        <x:v>中文、企业 Agent、工具调用、社交办公生态、多模态生成</x:v>
      </x:c>
      <x:c r="G16" s="64" t="str">
        <x:v>闭源 + 部分开放</x:v>
      </x:c>
      <x:c r="H16" s="64" t="str">
        <x:v>TokenHub API、专属部署、腾讯云</x:v>
      </x:c>
      <x:c r="I16" s="64" t="str">
        <x:v>Hy3 约 ¥1/¥4，缓存约 ¥0.25；生成模型按次/Token</x:v>
      </x:c>
      <x:c r="J16" s="64" t="str">
        <x:v>企业 Agent、办公/代码、微信生态客服、多媒体生成</x:v>
      </x:c>
      <x:c r="K16" s="96" t="str">
        <x:v>https://cloud.tencent.com/product/tokenhub</x:v>
      </x:c>
      <x:c r="L16" s="91" t="str">
        <x:v>【公开事实】原混元售卖入口逐步迁移 TokenHub</x:v>
      </x:c>
    </x:row>
    <x:row r="17" ht="54" customHeight="1">
      <x:c r="A17" s="90" t="str">
        <x:v>国内</x:v>
      </x:c>
      <x:c r="B17" s="64" t="str">
        <x:v>智谱 AI / GLM</x:v>
      </x:c>
      <x:c r="C17" s="64" t="str">
        <x:v>以 ChatGLM 开源生态和 BigModel MaaS 切入，GLM-4.5 后重点转向代码、Agent 与长周期工程任务。</x:v>
      </x:c>
      <x:c r="D17" s="64" t="str">
        <x:v>GLM-5.2 / 5.1；GLM-5V-Turbo；GLM-4.7-FlashX</x:v>
      </x:c>
      <x:c r="E17" s="64" t="str">
        <x:v>智谱清言、AutoGLM、GLM Coding Plan、开放平台</x:v>
      </x:c>
      <x:c r="F17" s="64" t="str">
        <x:v>中文 Agent、代码、1M 长上下文、视觉操作、开放模型</x:v>
      </x:c>
      <x:c r="G17" s="64" t="str">
        <x:v>开放权重 + 商业 API</x:v>
      </x:c>
      <x:c r="H17" s="64" t="str">
        <x:v>BigModel API、私有化、代码订阅</x:v>
      </x:c>
      <x:c r="I17" s="64" t="str">
        <x:v>GLM-5.2 ¥8/¥28；GLM-4.7-FlashX ¥0.5/¥3</x:v>
      </x:c>
      <x:c r="J17" s="64" t="str">
        <x:v>代码 Agent、企业知识库、工单/合同、视觉操作</x:v>
      </x:c>
      <x:c r="K17" s="96" t="str">
        <x:v>https://docs.bigmodel.cn/cn/guide/start/model-overview</x:v>
      </x:c>
      <x:c r="L17" s="91" t="str">
        <x:v>【公开事实】免费模型受配额/稳定性条件限制</x:v>
      </x:c>
    </x:row>
    <x:row r="18" ht="54" customHeight="1">
      <x:c r="A18" s="90" t="str">
        <x:v>国内</x:v>
      </x:c>
      <x:c r="B18" s="64" t="str">
        <x:v>DeepSeek</x:v>
      </x:c>
      <x:c r="C18" s="64" t="str">
        <x:v>由 Coder/LLM 进入通用模型，V2/V3 以 MoE 和低成本扩大影响，R1 推动推理开源，V4 强化 1M 上下文与 Agent。</x:v>
      </x:c>
      <x:c r="D18" s="64" t="str">
        <x:v>DeepSeek V4 Pro / Flash；开源 V4/R1 系列</x:v>
      </x:c>
      <x:c r="E18" s="64" t="str">
        <x:v>DeepSeek Chat、DeepSeek API、开源权重与技术报告</x:v>
      </x:c>
      <x:c r="F18" s="64" t="str">
        <x:v>低成本、推理、代码、开放权重、上下文缓存与高并发</x:v>
      </x:c>
      <x:c r="G18" s="64" t="str">
        <x:v>开放权重 + 商业 API</x:v>
      </x:c>
      <x:c r="H18" s="64" t="str">
        <x:v>第一方 API、自建、云平台托管</x:v>
      </x:c>
      <x:c r="I18" s="64" t="str">
        <x:v>V4 Flash 缓存/未命中/输出约 ¥0.02/¥1/¥2</x:v>
      </x:c>
      <x:c r="J18" s="64" t="str">
        <x:v>低成本 Agent、代码、推理、底模蒸馏、私有化</x:v>
      </x:c>
      <x:c r="K18" s="96" t="str">
        <x:v>https://api-docs.deepseek.com/</x:v>
      </x:c>
      <x:c r="L18" s="91" t="str">
        <x:v>【公开事实】缓存命中价格极低但不能假设必定命中</x:v>
      </x:c>
    </x:row>
    <x:row r="19" ht="54" customHeight="1">
      <x:c r="A19" s="90" t="str">
        <x:v>国内</x:v>
      </x:c>
      <x:c r="B19" s="64" t="str">
        <x:v>月之暗面 / Kimi</x:v>
      </x:c>
      <x:c r="C19" s="64" t="str">
        <x:v>从超长上下文助手建立认知，K2/K2 Thinking 强化代码与 Agent，K2.5/K3 进入原生多模态和 1M 上下文。</x:v>
      </x:c>
      <x:c r="D19" s="64" t="str">
        <x:v>Kimi K3 / K2.7 Code / K2.6</x:v>
      </x:c>
      <x:c r="E19" s="64" t="str">
        <x:v>Kimi、Kimi API、深度研究、Office/网页生成</x:v>
      </x:c>
      <x:c r="F19" s="64" t="str">
        <x:v>长上下文、研究、代码 Agent、多模态、缓存</x:v>
      </x:c>
      <x:c r="G19" s="64" t="str">
        <x:v>开放权重 + 商业 API</x:v>
      </x:c>
      <x:c r="H19" s="64" t="str">
        <x:v>第一方 API、开源自建、云平台托管</x:v>
      </x:c>
      <x:c r="I19" s="64" t="str">
        <x:v>K3 ¥20/¥100，缓存 ¥2；K2.7 Code ¥6.5/¥27</x:v>
      </x:c>
      <x:c r="J19" s="64" t="str">
        <x:v>研究/搜索、长文档、代码、知识工作、多模态</x:v>
      </x:c>
      <x:c r="K19" s="96" t="str">
        <x:v>https://platform.kimi.com/</x:v>
      </x:c>
      <x:c r="L19" s="91" t="str">
        <x:v>【公开事实】国内外 API 币种与价格页可能不同</x:v>
      </x:c>
    </x:row>
    <x:row r="20" ht="54" customHeight="1">
      <x:c r="A20" s="90" t="str">
        <x:v>国内</x:v>
      </x:c>
      <x:c r="B20" s="64" t="str">
        <x:v>MiniMax</x:v>
      </x:c>
      <x:c r="C20" s="64" t="str">
        <x:v>从多模态和社交/陪伴产品扩展到超长上下文、推理与 Agent Coding，同时保留海螺视频、语音、音乐能力。</x:v>
      </x:c>
      <x:c r="D20" s="64" t="str">
        <x:v>MiniMax M2.7 / M2.5；Hailuo 2.3；Speech/Music</x:v>
      </x:c>
      <x:c r="E20" s="64" t="str">
        <x:v>MiniMax Agent、海螺 AI、开放平台、Talkie</x:v>
      </x:c>
      <x:c r="F20" s="64" t="str">
        <x:v>Agent/代码、长上下文、语音、视频、角色与全球化产品</x:v>
      </x:c>
      <x:c r="G20" s="64" t="str">
        <x:v>闭源 + 部分开放</x:v>
      </x:c>
      <x:c r="H20" s="64" t="str">
        <x:v>API、订阅 Token Plan、专属部署</x:v>
      </x:c>
      <x:c r="I20" s="64" t="str">
        <x:v>M2.7 ¥2.1/¥8.4，缓存读 ¥0.42；视频按条计费</x:v>
      </x:c>
      <x:c r="J20" s="64" t="str">
        <x:v>Agent、代码、Office 交付、视频/语音、角色互动</x:v>
      </x:c>
      <x:c r="K20" s="96" t="str">
        <x:v>https://platform.minimaxi.com/docs/guides/pricing-paygo</x:v>
      </x:c>
      <x:c r="L20" s="91" t="str">
        <x:v>【公开事实】高速版、订阅与按量不可直接横比</x:v>
      </x:c>
    </x:row>
    <x:row r="21" ht="54" customHeight="1">
      <x:c r="A21" s="90" t="str">
        <x:v>国内</x:v>
      </x:c>
      <x:c r="B21" s="64" t="str">
        <x:v>科大讯飞 / 星火</x:v>
      </x:c>
      <x:c r="C21" s="64" t="str">
        <x:v>以语音与教育产业积累切入通用大模型，X1/X2 强化推理、代码和 Agent，并强调国产算力与行业私有化。</x:v>
      </x:c>
      <x:c r="D21" s="64" t="str">
        <x:v>星火 X2 / X2 Flash；语音识别/合成模型</x:v>
      </x:c>
      <x:c r="E21" s="64" t="str">
        <x:v>讯飞星火、星火开放平台、教育/办公/车载产品</x:v>
      </x:c>
      <x:c r="F21" s="64" t="str">
        <x:v>中文语音、方言、教育、行业知识、国产化部署</x:v>
      </x:c>
      <x:c r="G21" s="64" t="str">
        <x:v>闭源 + 行业私有化</x:v>
      </x:c>
      <x:c r="H21" s="64" t="str">
        <x:v>API、私有化、终端/车载</x:v>
      </x:c>
      <x:c r="I21" s="64" t="str">
        <x:v>X2 Flash 约 ¥1/¥2；X2 约 ¥3/¥3</x:v>
      </x:c>
      <x:c r="J21" s="64" t="str">
        <x:v>语音客服、教育、车载、政企知识与国产化</x:v>
      </x:c>
      <x:c r="K21" s="96" t="str">
        <x:v>https://xinghuo.xfyun.cn/</x:v>
      </x:c>
      <x:c r="L21" s="91" t="str">
        <x:v>【公开事实】语音还需按分钟/字符计费</x:v>
      </x:c>
    </x:row>
    <x:row r="22" ht="54" customHeight="1">
      <x:c r="A22" s="90" t="str">
        <x:v>国内</x:v>
      </x:c>
      <x:c r="B22" s="64" t="str">
        <x:v>华为云 / 盘古</x:v>
      </x:c>
      <x:c r="C22" s="64" t="str">
        <x:v>从盘古 3.0 的“5+N+X”行业体系，演进到 5.x 的多规格、多模态、深度思考和科学/工业模型。</x:v>
      </x:c>
      <x:c r="D22" s="64" t="str">
        <x:v>盘古 5.5；气象、矿山、制造、药物等行业模型</x:v>
      </x:c>
      <x:c r="E22" s="64" t="str">
        <x:v>华为云 ModelArts、盘古大模型、CodeArts、昇腾生态</x:v>
      </x:c>
      <x:c r="F22" s="64" t="str">
        <x:v>行业模型、科学计算、国产算力、私有化与工程交付</x:v>
      </x:c>
      <x:c r="G22" s="64" t="str">
        <x:v>闭源 + 行业方案</x:v>
      </x:c>
      <x:c r="H22" s="64" t="str">
        <x:v>华为云、专属云、私有化、昇腾</x:v>
      </x:c>
      <x:c r="I22" s="64" t="str">
        <x:v>无统一公开 token 刊例价；以项目/资源/专属部署报价</x:v>
      </x:c>
      <x:c r="J22" s="64" t="str">
        <x:v>金融、制造、气象、政企、国产化与高安全场景</x:v>
      </x:c>
      <x:c r="K22" s="96" t="str">
        <x:v>https://www.huaweicloud.com/product/pangu.html</x:v>
      </x:c>
      <x:c r="L22" s="91" t="str">
        <x:v>【公开事实】不宜与公共 API 单价直接比较</x:v>
      </x:c>
    </x:row>
    <x:row r="23" ht="54" customHeight="1">
      <x:c r="A23" s="90" t="str">
        <x:v>国内</x:v>
      </x:c>
      <x:c r="B23" s="64" t="str">
        <x:v>商汤 / 日日新 SenseNova</x:v>
      </x:c>
      <x:c r="C23" s="64" t="str">
        <x:v>从日日新通用模型扩展到多模态、推理与办公交付，结合商汤视觉积累形成视觉 Agent 与内容生产。</x:v>
      </x:c>
      <x:c r="D23" s="64" t="str">
        <x:v>SenseNova V6.x / Reasoner；多模态与视觉 Agent</x:v>
      </x:c>
      <x:c r="E23" s="64" t="str">
        <x:v>商量、办公小浣熊、SenseNova 开放平台</x:v>
      </x:c>
      <x:c r="F23" s="64" t="str">
        <x:v>视觉、多模态、办公数据分析、PPT/信息图、企业交付</x:v>
      </x:c>
      <x:c r="G23" s="64" t="str">
        <x:v>闭源</x:v>
      </x:c>
      <x:c r="H23" s="64" t="str">
        <x:v>API、企业平台、私有化</x:v>
      </x:c>
      <x:c r="I23" s="64" t="str">
        <x:v>V6 Pro ¥3/¥9；V6 Turbo ¥1.5/¥4.5；Reasoner ¥8/¥32</x:v>
      </x:c>
      <x:c r="J23" s="64" t="str">
        <x:v>办公交付、视觉分析、内容生成、企业 Agent</x:v>
      </x:c>
      <x:c r="K23" s="96" t="str">
        <x:v>https://platform.sensenova.cn/product/APIService/pricing</x:v>
      </x:c>
      <x:c r="L23" s="91" t="str">
        <x:v>【公开事实】需区分通用、推理和多模态模型</x:v>
      </x:c>
    </x:row>
    <x:row r="24" ht="54" customHeight="1">
      <x:c r="A24" s="90" t="str">
        <x:v>国内</x:v>
      </x:c>
      <x:c r="B24" s="64" t="str">
        <x:v>阶跃星辰 StepFun</x:v>
      </x:c>
      <x:c r="C24" s="64" t="str">
        <x:v>从 Step-1/1V/2 的通用和多模态，发展到 Step-3/3.5/3.7 Flash 的高吞吐 Agent 与本地部署路线。</x:v>
      </x:c>
      <x:c r="D24" s="64" t="str">
        <x:v>Step-3.7 Flash / 3.5 Flash；Step-3；Step-Audio</x:v>
      </x:c>
      <x:c r="E24" s="64" t="str">
        <x:v>跃问、StepFun 开放平台、Agent/MCP 示例</x:v>
      </x:c>
      <x:c r="F24" s="64" t="str">
        <x:v>多模态 Agent、高吞吐、工具调用、搜索、本地部署</x:v>
      </x:c>
      <x:c r="G24" s="64" t="str">
        <x:v>开放权重 + 商业 API</x:v>
      </x:c>
      <x:c r="H24" s="64" t="str">
        <x:v>API、自建、本地工作站/DGX</x:v>
      </x:c>
      <x:c r="I24" s="64" t="str">
        <x:v>3.5 Flash ¥0.7/¥2.1，缓存 ¥0.14；Step-2 mini ¥1/¥2</x:v>
      </x:c>
      <x:c r="J24" s="64" t="str">
        <x:v>低成本 Agent、MCP 工具链、多模态、私有部署</x:v>
      </x:c>
      <x:c r="K24" s="96" t="str">
        <x:v>https://platform.stepfun.com/docs/zh/guides/pricing/details</x:v>
      </x:c>
      <x:c r="L24" s="91" t="str">
        <x:v>【公开事实】具体模型可用性以平台目录为准</x:v>
      </x:c>
    </x:row>
    <x:row r="25" ht="54" customHeight="1">
      <x:c r="A25" s="90" t="str">
        <x:v>国内</x:v>
      </x:c>
      <x:c r="B25" s="64" t="str">
        <x:v>百川智能</x:v>
      </x:c>
      <x:c r="C25" s="64" t="str">
        <x:v>以 Baichuan-7B/13B 和 Baichuan2 开源进入市场，随后转向企业高频任务与医疗垂直模型。</x:v>
      </x:c>
      <x:c r="D25" s="64" t="str">
        <x:v>Baichuan4 Air；医疗 M2/M3 系列</x:v>
      </x:c>
      <x:c r="E25" s="64" t="str">
        <x:v>百小应、百川开放平台、医疗大模型方案</x:v>
      </x:c>
      <x:c r="F25" s="64" t="str">
        <x:v>中文、医疗知识、角色/企业任务、私有化</x:v>
      </x:c>
      <x:c r="G25" s="64" t="str">
        <x:v>开放权重 + 商业 API</x:v>
      </x:c>
      <x:c r="H25" s="64" t="str">
        <x:v>API、私有化、行业方案</x:v>
      </x:c>
      <x:c r="I25" s="64" t="str">
        <x:v>Baichuan4 Air ¥0.98/百万tokens（输入输出合并）；M3 Plus ¥5/¥9</x:v>
      </x:c>
      <x:c r="J25" s="64" t="str">
        <x:v>医疗决策支持、医学教育、企业中文任务</x:v>
      </x:c>
      <x:c r="K25" s="96" t="str">
        <x:v>https://platform.baichuan-ai.com/prices</x:v>
      </x:c>
      <x:c r="L25" s="91" t="str">
        <x:v>【公开事实】垂直医疗需额外验证合规与临床边界</x:v>
      </x:c>
    </x:row>
    <x:row r="26" ht="54" customHeight="1">
      <x:c r="A26" s="92" t="str">
        <x:v>国内</x:v>
      </x:c>
      <x:c r="B26" s="93" t="str">
        <x:v>零一万物 / Yi</x:v>
      </x:c>
      <x:c r="C26" s="93" t="str">
        <x:v>以 Yi-6B/34B 开源获得影响，Yi-1.5 与 Yi-Coder 延伸通用和代码；后续公开基础模型节奏相对减少。</x:v>
      </x:c>
      <x:c r="D26" s="93" t="str">
        <x:v>Yi-1.5；Yi-Coder 1.5B/9B</x:v>
      </x:c>
      <x:c r="E26" s="93" t="str">
        <x:v>Yi 开源仓库、万知等产品/历史服务</x:v>
      </x:c>
      <x:c r="F26" s="93" t="str">
        <x:v>中小开放模型、代码、本地部署、低门槛微调</x:v>
      </x:c>
      <x:c r="G26" s="93" t="str">
        <x:v>开放权重</x:v>
      </x:c>
      <x:c r="H26" s="93" t="str">
        <x:v>本地/私有化、第三方托管</x:v>
      </x:c>
      <x:c r="I26" s="93" t="str">
        <x:v>未发现当前统一第一方人民币 API 价；按自建或托管算力计</x:v>
      </x:c>
      <x:c r="J26" s="93" t="str">
        <x:v>本地代码助手、NL2SQL、网页生成、轻量私有化</x:v>
      </x:c>
      <x:c r="K26" s="97" t="str">
        <x:v>https://github.com/01-ai/Yi</x:v>
      </x:c>
      <x:c r="L26" s="94" t="str">
        <x:v>【公开事实】2025-2026 新基座时间线待验证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ba52be44d5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30" hidden="0" customWidth="1"/>
    <x:col min="5" max="5" width="42" hidden="0" customWidth="1"/>
    <x:col min="6" max="6" width="30" hidden="0" customWidth="1"/>
    <x:col min="7" max="7" width="52" hidden="0" customWidth="1"/>
    <x:col min="8" max="8" width="20" hidden="0" customWidth="1"/>
  </x:cols>
  <x:sheetData>
    <x:row r="1" ht="32" customHeight="1">
      <x:c r="A1" s="4" t="str">
        <x:v>关键模型与产品时间轴（保留代际，不穷尽快照）</x:v>
      </x:c>
      <x:c r="B1" s="4" t="str">
        <x:v>关键模型与产品时间轴（保留代际，不穷尽快照）</x:v>
      </x:c>
      <x:c r="C1" s="4" t="str">
        <x:v>关键模型与产品时间轴（保留代际，不穷尽快照）</x:v>
      </x:c>
      <x:c r="D1" s="4" t="str">
        <x:v>关键模型与产品时间轴（保留代际，不穷尽快照）</x:v>
      </x:c>
      <x:c r="E1" s="4" t="str">
        <x:v>关键模型与产品时间轴（保留代际，不穷尽快照）</x:v>
      </x:c>
      <x:c r="F1" s="4" t="str">
        <x:v>关键模型与产品时间轴（保留代际，不穷尽快照）</x:v>
      </x:c>
      <x:c r="G1" s="4" t="str">
        <x:v>关键模型与产品时间轴（保留代际，不穷尽快照）</x:v>
      </x:c>
      <x:c r="H1" s="4" t="str">
        <x:v>关键模型与产品时间轴（保留代际，不穷尽快照）</x:v>
      </x:c>
    </x:row>
    <x:row r="2" ht="30" customHeight="1">
      <x:c r="A2" s="70" t="str">
        <x:v>年份</x:v>
      </x:c>
      <x:c r="B2" s="70" t="str">
        <x:v>厂商</x:v>
      </x:c>
      <x:c r="C2" s="70" t="str">
        <x:v>发布时间</x:v>
      </x:c>
      <x:c r="D2" s="70" t="str">
        <x:v>模型/系列</x:v>
      </x:c>
      <x:c r="E2" s="70" t="str">
        <x:v>关键能力变化</x:v>
      </x:c>
      <x:c r="F2" s="70" t="str">
        <x:v>对应产品/入口</x:v>
      </x:c>
      <x:c r="G2" s="70" t="str">
        <x:v>官方来源</x:v>
      </x:c>
      <x:c r="H2" s="70" t="str">
        <x:v>证据</x:v>
      </x:c>
    </x:row>
    <x:row r="3" ht="54" customHeight="1">
      <x:c r="A3" s="98" t="n">
        <x:v>2023</x:v>
      </x:c>
      <x:c r="B3" s="88" t="str">
        <x:v>OpenAI</x:v>
      </x:c>
      <x:c r="C3" s="88" t="str">
        <x:v>2023-03 / 11</x:v>
      </x:c>
      <x:c r="D3" s="88" t="str">
        <x:v>GPT-4；GPT-4 Turbo</x:v>
      </x:c>
      <x:c r="E3" s="88" t="str">
        <x:v>大规模多模态；更长上下文、函数调用与更低价格</x:v>
      </x:c>
      <x:c r="F3" s="88" t="str">
        <x:v>ChatGPT、API</x:v>
      </x:c>
      <x:c r="G3" s="95" t="str">
        <x:v>https://openai.com/index/gpt-4-research/</x:v>
      </x:c>
      <x:c r="H3" s="89" t="str">
        <x:v>【公开事实】</x:v>
      </x:c>
    </x:row>
    <x:row r="4" ht="54" customHeight="1">
      <x:c r="A4" s="99" t="n">
        <x:v>2024</x:v>
      </x:c>
      <x:c r="B4" s="64" t="str">
        <x:v>OpenAI</x:v>
      </x:c>
      <x:c r="C4" s="64" t="str">
        <x:v>2024-05 / 09</x:v>
      </x:c>
      <x:c r="D4" s="64" t="str">
        <x:v>GPT-4o；o1-preview</x:v>
      </x:c>
      <x:c r="E4" s="64" t="str">
        <x:v>实时文本/视觉/音频；推理时计算范式</x:v>
      </x:c>
      <x:c r="F4" s="64" t="str">
        <x:v>ChatGPT、API</x:v>
      </x:c>
      <x:c r="G4" s="96" t="str">
        <x:v>https://openai.com/index/hello-gpt-4o/</x:v>
      </x:c>
      <x:c r="H4" s="91" t="str">
        <x:v>【公开事实】</x:v>
      </x:c>
    </x:row>
    <x:row r="5" ht="54" customHeight="1">
      <x:c r="A5" s="99" t="n">
        <x:v>2025</x:v>
      </x:c>
      <x:c r="B5" s="64" t="str">
        <x:v>OpenAI</x:v>
      </x:c>
      <x:c r="C5" s="64" t="str">
        <x:v>2025-08</x:v>
      </x:c>
      <x:c r="D5" s="64" t="str">
        <x:v>GPT-5 系列</x:v>
      </x:c>
      <x:c r="E5" s="64" t="str">
        <x:v>统一路由、推理、代码与 Agent</x:v>
      </x:c>
      <x:c r="F5" s="64" t="str">
        <x:v>ChatGPT、Responses API、Codex</x:v>
      </x:c>
      <x:c r="G5" s="96" t="str">
        <x:v>https://developers.openai.com/api/docs/models/gpt-5</x:v>
      </x:c>
      <x:c r="H5" s="91" t="str">
        <x:v>【公开事实】</x:v>
      </x:c>
    </x:row>
    <x:row r="6" ht="54" customHeight="1">
      <x:c r="A6" s="99" t="n">
        <x:v>2026</x:v>
      </x:c>
      <x:c r="B6" s="64" t="str">
        <x:v>OpenAI</x:v>
      </x:c>
      <x:c r="C6" s="64" t="str">
        <x:v>2026-06 / 07</x:v>
      </x:c>
      <x:c r="D6" s="64" t="str">
        <x:v>GPT-5.6 Sol / Terra / Luna</x:v>
      </x:c>
      <x:c r="E6" s="64" t="str">
        <x:v>1.05M 上下文、分层成本、计算机工具与多智能体</x:v>
      </x:c>
      <x:c r="F6" s="64" t="str">
        <x:v>ChatGPT、API、Codex</x:v>
      </x:c>
      <x:c r="G6" s="96" t="str">
        <x:v>https://openai.com/index/gpt-5-6/</x:v>
      </x:c>
      <x:c r="H6" s="91" t="str">
        <x:v>【公开事实】</x:v>
      </x:c>
    </x:row>
    <x:row r="7" ht="54" customHeight="1">
      <x:c r="A7" s="99" t="n">
        <x:v>2023</x:v>
      </x:c>
      <x:c r="B7" s="64" t="str">
        <x:v>Anthropic</x:v>
      </x:c>
      <x:c r="C7" s="64" t="str">
        <x:v>2023-03 / 07 / 11</x:v>
      </x:c>
      <x:c r="D7" s="64" t="str">
        <x:v>Claude；Claude 2 / 2.1</x:v>
      </x:c>
      <x:c r="E7" s="64" t="str">
        <x:v>长上下文、安全、企业文档分析</x:v>
      </x:c>
      <x:c r="F7" s="64" t="str">
        <x:v>Claude、API</x:v>
      </x:c>
      <x:c r="G7" s="96" t="str">
        <x:v>https://www.anthropic.com/news/claude-2</x:v>
      </x:c>
      <x:c r="H7" s="91" t="str">
        <x:v>【公开事实】</x:v>
      </x:c>
    </x:row>
    <x:row r="8" ht="54" customHeight="1">
      <x:c r="A8" s="99" t="n">
        <x:v>2024</x:v>
      </x:c>
      <x:c r="B8" s="64" t="str">
        <x:v>Anthropic</x:v>
      </x:c>
      <x:c r="C8" s="64" t="str">
        <x:v>2024-03 / 06</x:v>
      </x:c>
      <x:c r="D8" s="64" t="str">
        <x:v>Claude 3；Claude 3.5 Sonnet</x:v>
      </x:c>
      <x:c r="E8" s="64" t="str">
        <x:v>Opus/Sonnet/Haiku 分层；编码和工具能力提升</x:v>
      </x:c>
      <x:c r="F8" s="64" t="str">
        <x:v>Claude、API、Claude for Work</x:v>
      </x:c>
      <x:c r="G8" s="96" t="str">
        <x:v>https://www.anthropic.com/news/claude-3-family</x:v>
      </x:c>
      <x:c r="H8" s="91" t="str">
        <x:v>【公开事实】</x:v>
      </x:c>
    </x:row>
    <x:row r="9" ht="54" customHeight="1">
      <x:c r="A9" s="99" t="n">
        <x:v>2025</x:v>
      </x:c>
      <x:c r="B9" s="64" t="str">
        <x:v>Anthropic</x:v>
      </x:c>
      <x:c r="C9" s="64" t="str">
        <x:v>2025-05</x:v>
      </x:c>
      <x:c r="D9" s="64" t="str">
        <x:v>Claude 4 系列</x:v>
      </x:c>
      <x:c r="E9" s="64" t="str">
        <x:v>长周期推理、Agent 与 Claude Code</x:v>
      </x:c>
      <x:c r="F9" s="64" t="str">
        <x:v>Claude、Claude Code</x:v>
      </x:c>
      <x:c r="G9" s="96" t="str">
        <x:v>https://www.anthropic.com/news/claude-4</x:v>
      </x:c>
      <x:c r="H9" s="91" t="str">
        <x:v>【公开事实】</x:v>
      </x:c>
    </x:row>
    <x:row r="10" ht="54" customHeight="1">
      <x:c r="A10" s="99" t="n">
        <x:v>2026</x:v>
      </x:c>
      <x:c r="B10" s="64" t="str">
        <x:v>Anthropic</x:v>
      </x:c>
      <x:c r="C10" s="64" t="str">
        <x:v>2026-06 / 07</x:v>
      </x:c>
      <x:c r="D10" s="64" t="str">
        <x:v>Claude Sonnet 5 / Opus 5 / Fable 5</x:v>
      </x:c>
      <x:c r="E10" s="64" t="str">
        <x:v>1M 上下文、128K 输出、默认思考、长任务</x:v>
      </x:c>
      <x:c r="F10" s="64" t="str">
        <x:v>Claude Platform、Managed Agents</x:v>
      </x:c>
      <x:c r="G10" s="96" t="str">
        <x:v>https://platform.claude.com/docs/en/release-notes/overview</x:v>
      </x:c>
      <x:c r="H10" s="91" t="str">
        <x:v>【公开事实】</x:v>
      </x:c>
    </x:row>
    <x:row r="11" ht="54" customHeight="1">
      <x:c r="A11" s="99" t="n">
        <x:v>2023</x:v>
      </x:c>
      <x:c r="B11" s="64" t="str">
        <x:v>Google DeepMind</x:v>
      </x:c>
      <x:c r="C11" s="64" t="str">
        <x:v>2023-12</x:v>
      </x:c>
      <x:c r="D11" s="64" t="str">
        <x:v>Gemini 1.0；Gemini Nano</x:v>
      </x:c>
      <x:c r="E11" s="64" t="str">
        <x:v>原生多模态；端侧摘要与智能回复</x:v>
      </x:c>
      <x:c r="F11" s="64" t="str">
        <x:v>Gemini/Bard、Pixel</x:v>
      </x:c>
      <x:c r="G11" s="96" t="str">
        <x:v>https://blog.google/technology/ai/google-gemini-ai/</x:v>
      </x:c>
      <x:c r="H11" s="91" t="str">
        <x:v>【公开事实】</x:v>
      </x:c>
    </x:row>
    <x:row r="12" ht="54" customHeight="1">
      <x:c r="A12" s="99" t="n">
        <x:v>2024</x:v>
      </x:c>
      <x:c r="B12" s="64" t="str">
        <x:v>Google DeepMind</x:v>
      </x:c>
      <x:c r="C12" s="64" t="str">
        <x:v>2024-02 / 12</x:v>
      </x:c>
      <x:c r="D12" s="64" t="str">
        <x:v>Gemini 1.5；Gemini 2.0</x:v>
      </x:c>
      <x:c r="E12" s="64" t="str">
        <x:v>长上下文、Flash 档位、多模态与 Agent 工具</x:v>
      </x:c>
      <x:c r="F12" s="64" t="str">
        <x:v>AI Studio、Vertex AI、Workspace</x:v>
      </x:c>
      <x:c r="G12" s="96" t="str">
        <x:v>https://blog.google/technology/ai/google-gemini-next-generation-model-february-2024/</x:v>
      </x:c>
      <x:c r="H12" s="91" t="str">
        <x:v>【公开事实】</x:v>
      </x:c>
    </x:row>
    <x:row r="13" ht="54" customHeight="1">
      <x:c r="A13" s="99" t="n">
        <x:v>2025</x:v>
      </x:c>
      <x:c r="B13" s="64" t="str">
        <x:v>Google DeepMind</x:v>
      </x:c>
      <x:c r="C13" s="64" t="str">
        <x:v>2025</x:v>
      </x:c>
      <x:c r="D13" s="64" t="str">
        <x:v>Gemini 2.5 / 3 系列</x:v>
      </x:c>
      <x:c r="E13" s="64" t="str">
        <x:v>思考、多模态、搜索 Grounding、实时能力</x:v>
      </x:c>
      <x:c r="F13" s="64" t="str">
        <x:v>Gemini、Vertex AI</x:v>
      </x:c>
      <x:c r="G13" s="96" t="str">
        <x:v>https://ai.google.dev/gemini-api/docs/models</x:v>
      </x:c>
      <x:c r="H13" s="91" t="str">
        <x:v>【公开事实】</x:v>
      </x:c>
    </x:row>
    <x:row r="14" ht="54" customHeight="1">
      <x:c r="A14" s="99" t="n">
        <x:v>2026</x:v>
      </x:c>
      <x:c r="B14" s="64" t="str">
        <x:v>Google DeepMind</x:v>
      </x:c>
      <x:c r="C14" s="64" t="str">
        <x:v>2026-08</x:v>
      </x:c>
      <x:c r="D14" s="64" t="str">
        <x:v>Gemini 3.7 Flash；3.5 Flash-Lite</x:v>
      </x:c>
      <x:c r="E14" s="64" t="str">
        <x:v>Agent/代码增强；低成本高吞吐与多模态输入</x:v>
      </x:c>
      <x:c r="F14" s="64" t="str">
        <x:v>Gemini API、AI Studio、Vertex AI</x:v>
      </x:c>
      <x:c r="G14" s="96" t="str">
        <x:v>https://ai.google.dev/gemini-api/docs/latest-model</x:v>
      </x:c>
      <x:c r="H14" s="91" t="str">
        <x:v>【公开事实】</x:v>
      </x:c>
    </x:row>
    <x:row r="15" ht="54" customHeight="1">
      <x:c r="A15" s="99" t="n">
        <x:v>2023</x:v>
      </x:c>
      <x:c r="B15" s="64" t="str">
        <x:v>Meta</x:v>
      </x:c>
      <x:c r="C15" s="64" t="str">
        <x:v>2023-07</x:v>
      </x:c>
      <x:c r="D15" s="64" t="str">
        <x:v>Llama 2</x:v>
      </x:c>
      <x:c r="E15" s="64" t="str">
        <x:v>开放权重并支持研究和商业使用（受许可证约束）</x:v>
      </x:c>
      <x:c r="F15" s="64" t="str">
        <x:v>Azure/AWS 与自建生态</x:v>
      </x:c>
      <x:c r="G15" s="96" t="str">
        <x:v>https://ai.meta.com/blog/llama-2/</x:v>
      </x:c>
      <x:c r="H15" s="91" t="str">
        <x:v>【公开事实】</x:v>
      </x:c>
    </x:row>
    <x:row r="16" ht="54" customHeight="1">
      <x:c r="A16" s="99" t="n">
        <x:v>2024</x:v>
      </x:c>
      <x:c r="B16" s="64" t="str">
        <x:v>Meta</x:v>
      </x:c>
      <x:c r="C16" s="64" t="str">
        <x:v>2024-04 / 07 / 09</x:v>
      </x:c>
      <x:c r="D16" s="64" t="str">
        <x:v>Llama 3 / 3.1 / 3.2</x:v>
      </x:c>
      <x:c r="E16" s="64" t="str">
        <x:v>405B、128K、多语言、视觉与端侧小模型</x:v>
      </x:c>
      <x:c r="F16" s="64" t="str">
        <x:v>Meta AI、云厂商、自建</x:v>
      </x:c>
      <x:c r="G16" s="96" t="str">
        <x:v>https://ai.meta.com/blog/meta-llama-3-1/</x:v>
      </x:c>
      <x:c r="H16" s="91" t="str">
        <x:v>【公开事实】</x:v>
      </x:c>
    </x:row>
    <x:row r="17" ht="54" customHeight="1">
      <x:c r="A17" s="99" t="n">
        <x:v>2025</x:v>
      </x:c>
      <x:c r="B17" s="64" t="str">
        <x:v>Meta</x:v>
      </x:c>
      <x:c r="C17" s="64" t="str">
        <x:v>2025-04</x:v>
      </x:c>
      <x:c r="D17" s="64" t="str">
        <x:v>Llama 4 Scout / Maverick</x:v>
      </x:c>
      <x:c r="E17" s="64" t="str">
        <x:v>MoE、原生多模态与长上下文</x:v>
      </x:c>
      <x:c r="F17" s="64" t="str">
        <x:v>Meta AI、开放生态</x:v>
      </x:c>
      <x:c r="G17" s="96" t="str">
        <x:v>https://ai.meta.com/blog/llama-4-multimodal-intelligence/</x:v>
      </x:c>
      <x:c r="H17" s="91" t="str">
        <x:v>【公开事实】</x:v>
      </x:c>
    </x:row>
    <x:row r="18" ht="54" customHeight="1">
      <x:c r="A18" s="99" t="n">
        <x:v>2026</x:v>
      </x:c>
      <x:c r="B18" s="64" t="str">
        <x:v>Meta</x:v>
      </x:c>
      <x:c r="C18" s="64" t="str">
        <x:v>2026-04</x:v>
      </x:c>
      <x:c r="D18" s="64" t="str">
        <x:v>Muse Spark</x:v>
      </x:c>
      <x:c r="E18" s="64" t="str">
        <x:v>原生多模态推理、工具使用与多智能体编排</x:v>
      </x:c>
      <x:c r="F18" s="64" t="str">
        <x:v>Meta AI</x:v>
      </x:c>
      <x:c r="G18" s="96" t="str">
        <x:v>https://ai.meta.com/blog/introducing-model-meta-superintelligence-labs/</x:v>
      </x:c>
      <x:c r="H18" s="91" t="str">
        <x:v>【公开事实】</x:v>
      </x:c>
    </x:row>
    <x:row r="19" ht="54" customHeight="1">
      <x:c r="A19" s="99" t="n">
        <x:v>2023</x:v>
      </x:c>
      <x:c r="B19" s="64" t="str">
        <x:v>xAI / SpaceXAI</x:v>
      </x:c>
      <x:c r="C19" s="64" t="str">
        <x:v>2023-11</x:v>
      </x:c>
      <x:c r="D19" s="64" t="str">
        <x:v>Grok 1</x:v>
      </x:c>
      <x:c r="E19" s="64" t="str">
        <x:v>结合 X 实时信息的对话助手</x:v>
      </x:c>
      <x:c r="F19" s="64" t="str">
        <x:v>X / Grok</x:v>
      </x:c>
      <x:c r="G19" s="96" t="str">
        <x:v>https://x.ai/news/grok</x:v>
      </x:c>
      <x:c r="H19" s="91" t="str">
        <x:v>【公开事实】</x:v>
      </x:c>
    </x:row>
    <x:row r="20" ht="54" customHeight="1">
      <x:c r="A20" s="99" t="n">
        <x:v>2024</x:v>
      </x:c>
      <x:c r="B20" s="64" t="str">
        <x:v>xAI / SpaceXAI</x:v>
      </x:c>
      <x:c r="C20" s="64" t="str">
        <x:v>2024</x:v>
      </x:c>
      <x:c r="D20" s="64" t="str">
        <x:v>Grok 1.5 / 2；API</x:v>
      </x:c>
      <x:c r="E20" s="64" t="str">
        <x:v>推理、视觉、实时信息与开发者接入</x:v>
      </x:c>
      <x:c r="F20" s="64" t="str">
        <x:v>Grok、xAI API</x:v>
      </x:c>
      <x:c r="G20" s="96" t="str">
        <x:v>https://docs.x.ai/developers/release-notes</x:v>
      </x:c>
      <x:c r="H20" s="91" t="str">
        <x:v>【公开事实】</x:v>
      </x:c>
    </x:row>
    <x:row r="21" ht="54" customHeight="1">
      <x:c r="A21" s="99" t="n">
        <x:v>2025</x:v>
      </x:c>
      <x:c r="B21" s="64" t="str">
        <x:v>xAI / SpaceXAI</x:v>
      </x:c>
      <x:c r="C21" s="64" t="str">
        <x:v>2025-02 / 07</x:v>
      </x:c>
      <x:c r="D21" s="64" t="str">
        <x:v>Grok 3 / 4</x:v>
      </x:c>
      <x:c r="E21" s="64" t="str">
        <x:v>推理 Agent、DeepSearch、代码与工具使用</x:v>
      </x:c>
      <x:c r="F21" s="64" t="str">
        <x:v>Grok、API</x:v>
      </x:c>
      <x:c r="G21" s="96" t="str">
        <x:v>https://x.ai/news/grok-3</x:v>
      </x:c>
      <x:c r="H21" s="91" t="str">
        <x:v>【公开事实】</x:v>
      </x:c>
    </x:row>
    <x:row r="22" ht="54" customHeight="1">
      <x:c r="A22" s="99" t="n">
        <x:v>2026</x:v>
      </x:c>
      <x:c r="B22" s="64" t="str">
        <x:v>xAI / SpaceXAI</x:v>
      </x:c>
      <x:c r="C22" s="64" t="str">
        <x:v>2026-07 / 08</x:v>
      </x:c>
      <x:c r="D22" s="64" t="str">
        <x:v>Grok 4.5 / 4.6；Voice 2.0</x:v>
      </x:c>
      <x:c r="E22" s="64" t="str">
        <x:v>代码 Agent、500K、多模态输入、语音客服与创作</x:v>
      </x:c>
      <x:c r="F22" s="64" t="str">
        <x:v>Grok Build、API、Voice、Imagine</x:v>
      </x:c>
      <x:c r="G22" s="96" t="str">
        <x:v>https://docs.x.ai/developers/grok-4-6</x:v>
      </x:c>
      <x:c r="H22" s="91" t="str">
        <x:v>【公开事实】</x:v>
      </x:c>
    </x:row>
    <x:row r="23" ht="54" customHeight="1">
      <x:c r="A23" s="99" t="n">
        <x:v>2023</x:v>
      </x:c>
      <x:c r="B23" s="64" t="str">
        <x:v>Mistral AI</x:v>
      </x:c>
      <x:c r="C23" s="64" t="str">
        <x:v>2023-09 / 12</x:v>
      </x:c>
      <x:c r="D23" s="64" t="str">
        <x:v>Mistral 7B；Mixtral 8x7B</x:v>
      </x:c>
      <x:c r="E23" s="64" t="str">
        <x:v>高效开放权重、小模型与 MoE</x:v>
      </x:c>
      <x:c r="F23" s="64" t="str">
        <x:v>开源生态、La Plateforme</x:v>
      </x:c>
      <x:c r="G23" s="96" t="str">
        <x:v>https://mistral.ai/news/announcing-mistral-7b/</x:v>
      </x:c>
      <x:c r="H23" s="91" t="str">
        <x:v>【公开事实】</x:v>
      </x:c>
    </x:row>
    <x:row r="24" ht="54" customHeight="1">
      <x:c r="A24" s="99" t="n">
        <x:v>2024</x:v>
      </x:c>
      <x:c r="B24" s="64" t="str">
        <x:v>Mistral AI</x:v>
      </x:c>
      <x:c r="C24" s="64" t="str">
        <x:v>2024</x:v>
      </x:c>
      <x:c r="D24" s="64" t="str">
        <x:v>Mistral Large；Codestral；Pixtral</x:v>
      </x:c>
      <x:c r="E24" s="64" t="str">
        <x:v>商业旗舰、代码、视觉与 Le Chat</x:v>
      </x:c>
      <x:c r="F24" s="64" t="str">
        <x:v>API、Le Chat</x:v>
      </x:c>
      <x:c r="G24" s="96" t="str">
        <x:v>https://mistral.ai/news/</x:v>
      </x:c>
      <x:c r="H24" s="91" t="str">
        <x:v>【公开事实】</x:v>
      </x:c>
    </x:row>
    <x:row r="25" ht="54" customHeight="1">
      <x:c r="A25" s="99" t="n">
        <x:v>2025</x:v>
      </x:c>
      <x:c r="B25" s="64" t="str">
        <x:v>Mistral AI</x:v>
      </x:c>
      <x:c r="C25" s="64" t="str">
        <x:v>2025</x:v>
      </x:c>
      <x:c r="D25" s="64" t="str">
        <x:v>Mistral 3；Ministral；OCR/Voxtral</x:v>
      </x:c>
      <x:c r="E25" s="64" t="str">
        <x:v>开放多规格、文档和语音专业模型</x:v>
      </x:c>
      <x:c r="F25" s="64" t="str">
        <x:v>API、权重、企业部署</x:v>
      </x:c>
      <x:c r="G25" s="96" t="str">
        <x:v>https://docs.mistral.ai/models</x:v>
      </x:c>
      <x:c r="H25" s="91" t="str">
        <x:v>【公开事实】</x:v>
      </x:c>
    </x:row>
    <x:row r="26" ht="54" customHeight="1">
      <x:c r="A26" s="99" t="n">
        <x:v>2026</x:v>
      </x:c>
      <x:c r="B26" s="64" t="str">
        <x:v>Mistral AI</x:v>
      </x:c>
      <x:c r="C26" s="64" t="str">
        <x:v>2026-03 / 04 / 06</x:v>
      </x:c>
      <x:c r="D26" s="64" t="str">
        <x:v>Small 4；Medium 3.5；OCR 4</x:v>
      </x:c>
      <x:c r="E26" s="64" t="str">
        <x:v>统一 instruct/reasoning/coding；文档结构理解</x:v>
      </x:c>
      <x:c r="F26" s="64" t="str">
        <x:v>Le Chat、Vibe、Studio、Forge</x:v>
      </x:c>
      <x:c r="G26" s="96" t="str">
        <x:v>https://docs.mistral.ai/inference/pricing</x:v>
      </x:c>
      <x:c r="H26" s="91" t="str">
        <x:v>【公开事实】</x:v>
      </x:c>
    </x:row>
    <x:row r="27" ht="54" customHeight="1">
      <x:c r="A27" s="99" t="n">
        <x:v>2023</x:v>
      </x:c>
      <x:c r="B27" s="64" t="str">
        <x:v>Cohere</x:v>
      </x:c>
      <x:c r="C27" s="64" t="str">
        <x:v>2023</x:v>
      </x:c>
      <x:c r="D27" s="64" t="str">
        <x:v>Command；Embed v3</x:v>
      </x:c>
      <x:c r="E27" s="64" t="str">
        <x:v>企业生成、向量和多语言检索</x:v>
      </x:c>
      <x:c r="F27" s="64" t="str">
        <x:v>Cohere API</x:v>
      </x:c>
      <x:c r="G27" s="96" t="str">
        <x:v>https://docs.cohere.com/docs/models</x:v>
      </x:c>
      <x:c r="H27" s="91" t="str">
        <x:v>【公开事实】</x:v>
      </x:c>
    </x:row>
    <x:row r="28" ht="54" customHeight="1">
      <x:c r="A28" s="99" t="n">
        <x:v>2024</x:v>
      </x:c>
      <x:c r="B28" s="64" t="str">
        <x:v>Cohere</x:v>
      </x:c>
      <x:c r="C28" s="64" t="str">
        <x:v>2024-03 / 04</x:v>
      </x:c>
      <x:c r="D28" s="64" t="str">
        <x:v>Command R / R+；Aya 23</x:v>
      </x:c>
      <x:c r="E28" s="64" t="str">
        <x:v>RAG、引用、工具使用和多语言</x:v>
      </x:c>
      <x:c r="F28" s="64" t="str">
        <x:v>API、云市场</x:v>
      </x:c>
      <x:c r="G28" s="96" t="str">
        <x:v>https://cohere.com/blog/command-r</x:v>
      </x:c>
      <x:c r="H28" s="91" t="str">
        <x:v>【公开事实】</x:v>
      </x:c>
    </x:row>
    <x:row r="29" ht="54" customHeight="1">
      <x:c r="A29" s="99" t="n">
        <x:v>2025</x:v>
      </x:c>
      <x:c r="B29" s="64" t="str">
        <x:v>Cohere</x:v>
      </x:c>
      <x:c r="C29" s="64" t="str">
        <x:v>2025</x:v>
      </x:c>
      <x:c r="D29" s="64" t="str">
        <x:v>Command A；Embed 4；North</x:v>
      </x:c>
      <x:c r="E29" s="64" t="str">
        <x:v>企业 Agent、检索、私有部署和工作平台</x:v>
      </x:c>
      <x:c r="F29" s="64" t="str">
        <x:v>North、Model Vault</x:v>
      </x:c>
      <x:c r="G29" s="96" t="str">
        <x:v>https://cohere.com/blog/command-a</x:v>
      </x:c>
      <x:c r="H29" s="91" t="str">
        <x:v>【公开事实】</x:v>
      </x:c>
    </x:row>
    <x:row r="30" ht="54" customHeight="1">
      <x:c r="A30" s="99" t="n">
        <x:v>2026</x:v>
      </x:c>
      <x:c r="B30" s="64" t="str">
        <x:v>Cohere</x:v>
      </x:c>
      <x:c r="C30" s="64" t="str">
        <x:v>2026-05</x:v>
      </x:c>
      <x:c r="D30" s="64" t="str">
        <x:v>Command A+</x:v>
      </x:c>
      <x:c r="E30" s="64" t="str">
        <x:v>MoE、视觉、Agent、推理和翻译一体化</x:v>
      </x:c>
      <x:c r="F30" s="64" t="str">
        <x:v>API、North、Vault</x:v>
      </x:c>
      <x:c r="G30" s="96" t="str">
        <x:v>https://cohere.com/command</x:v>
      </x:c>
      <x:c r="H30" s="91" t="str">
        <x:v>【公开事实】</x:v>
      </x:c>
    </x:row>
    <x:row r="31" ht="54" customHeight="1">
      <x:c r="A31" s="99" t="n">
        <x:v>2023</x:v>
      </x:c>
      <x:c r="B31" s="64" t="str">
        <x:v>Amazon / AWS</x:v>
      </x:c>
      <x:c r="C31" s="64" t="str">
        <x:v>2023-09</x:v>
      </x:c>
      <x:c r="D31" s="64" t="str">
        <x:v>Amazon Bedrock GA；Titan</x:v>
      </x:c>
      <x:c r="E31" s="64" t="str">
        <x:v>多模型托管、企业安全和 RAG</x:v>
      </x:c>
      <x:c r="F31" s="64" t="str">
        <x:v>Bedrock、Amazon Q</x:v>
      </x:c>
      <x:c r="G31" s="96" t="str">
        <x:v>https://aws.amazon.com/about-aws/whats-new/2023/09/amazon-bedrock-generally-available/</x:v>
      </x:c>
      <x:c r="H31" s="91" t="str">
        <x:v>【公开事实】</x:v>
      </x:c>
    </x:row>
    <x:row r="32" ht="54" customHeight="1">
      <x:c r="A32" s="99" t="n">
        <x:v>2024</x:v>
      </x:c>
      <x:c r="B32" s="64" t="str">
        <x:v>Amazon / AWS</x:v>
      </x:c>
      <x:c r="C32" s="64" t="str">
        <x:v>2024-12</x:v>
      </x:c>
      <x:c r="D32" s="64" t="str">
        <x:v>Nova Micro / Lite / Pro / Canvas / Reel</x:v>
      </x:c>
      <x:c r="E32" s="64" t="str">
        <x:v>文本、多模态、图像和视频的自研家族</x:v>
      </x:c>
      <x:c r="F32" s="64" t="str">
        <x:v>Amazon Bedrock</x:v>
      </x:c>
      <x:c r="G32" s="96" t="str">
        <x:v>https://www.aboutamazon.com/news/aws/amazon-nova-artificial-intelligence-bedrock-aws</x:v>
      </x:c>
      <x:c r="H32" s="91" t="str">
        <x:v>【公开事实】</x:v>
      </x:c>
    </x:row>
    <x:row r="33" ht="54" customHeight="1">
      <x:c r="A33" s="99" t="n">
        <x:v>2025</x:v>
      </x:c>
      <x:c r="B33" s="64" t="str">
        <x:v>Amazon / AWS</x:v>
      </x:c>
      <x:c r="C33" s="64" t="str">
        <x:v>2025</x:v>
      </x:c>
      <x:c r="D33" s="64" t="str">
        <x:v>Nova Premier / Sonic / Act；Nova 2 Lite</x:v>
      </x:c>
      <x:c r="E33" s="64" t="str">
        <x:v>复杂任务、实时语音、浏览器行动和成本分层</x:v>
      </x:c>
      <x:c r="F33" s="64" t="str">
        <x:v>Bedrock、Nova Act、Forge</x:v>
      </x:c>
      <x:c r="G33" s="96" t="str">
        <x:v>https://aws.amazon.com/blogs/aws/category/artificial-intelligence/amazon-machine-learning/amazon-bedrock/amazon-nova/</x:v>
      </x:c>
      <x:c r="H33" s="91" t="str">
        <x:v>【公开事实】</x:v>
      </x:c>
    </x:row>
    <x:row r="34" ht="54" customHeight="1">
      <x:c r="A34" s="99" t="n">
        <x:v>2026</x:v>
      </x:c>
      <x:c r="B34" s="64" t="str">
        <x:v>Amazon / AWS</x:v>
      </x:c>
      <x:c r="C34" s="64" t="str">
        <x:v>2026</x:v>
      </x:c>
      <x:c r="D34" s="64" t="str">
        <x:v>Nova Forge / 自定义模型推理增强</x:v>
      </x:c>
      <x:c r="E34" s="64" t="str">
        <x:v>客户可定制训练并在 Bedrock/SageMaker 托管</x:v>
      </x:c>
      <x:c r="F34" s="64" t="str">
        <x:v>Bedrock、SageMaker</x:v>
      </x:c>
      <x:c r="G34" s="96" t="str">
        <x:v>https://docs.aws.amazon.com/nova/latest/nova2-userguide/what-is-nova-2.html</x:v>
      </x:c>
      <x:c r="H34" s="91" t="str">
        <x:v>【公开事实】</x:v>
      </x:c>
    </x:row>
    <x:row r="35" ht="54" customHeight="1">
      <x:c r="A35" s="99" t="n">
        <x:v>2023</x:v>
      </x:c>
      <x:c r="B35" s="64" t="str">
        <x:v>Microsoft（Phi/MAI）</x:v>
      </x:c>
      <x:c r="C35" s="64" t="str">
        <x:v>2023</x:v>
      </x:c>
      <x:c r="D35" s="64" t="str">
        <x:v>Phi-1 / Phi-2</x:v>
      </x:c>
      <x:c r="E35" s="64" t="str">
        <x:v>高质量数据驱动的小语言模型</x:v>
      </x:c>
      <x:c r="F35" s="64" t="str">
        <x:v>开源权重、本地与云</x:v>
      </x:c>
      <x:c r="G35" s="96" t="str">
        <x:v>https://www.microsoft.com/en-us/research/blog/phi-2-the-surprising-power-of-small-language-models/</x:v>
      </x:c>
      <x:c r="H35" s="91" t="str">
        <x:v>【公开事实】</x:v>
      </x:c>
    </x:row>
    <x:row r="36" ht="54" customHeight="1">
      <x:c r="A36" s="99" t="n">
        <x:v>2024</x:v>
      </x:c>
      <x:c r="B36" s="64" t="str">
        <x:v>Microsoft（Phi/MAI）</x:v>
      </x:c>
      <x:c r="C36" s="64" t="str">
        <x:v>2024-04 / 08</x:v>
      </x:c>
      <x:c r="D36" s="64" t="str">
        <x:v>Phi-3 / Phi-3.5 / Phi-4</x:v>
      </x:c>
      <x:c r="E36" s="64" t="str">
        <x:v>端侧、多语言、视觉与更强推理</x:v>
      </x:c>
      <x:c r="F36" s="64" t="str">
        <x:v>Azure AI、Hugging Face、本地</x:v>
      </x:c>
      <x:c r="G36" s="96" t="str">
        <x:v>https://azure.microsoft.com/en-us/blog/introducing-phi-3-redefining-whats-possible-with-slms/</x:v>
      </x:c>
      <x:c r="H36" s="91" t="str">
        <x:v>【公开事实】</x:v>
      </x:c>
    </x:row>
    <x:row r="37" ht="54" customHeight="1">
      <x:c r="A37" s="99" t="n">
        <x:v>2025</x:v>
      </x:c>
      <x:c r="B37" s="64" t="str">
        <x:v>Microsoft（Phi/MAI）</x:v>
      </x:c>
      <x:c r="C37" s="64" t="str">
        <x:v>2025</x:v>
      </x:c>
      <x:c r="D37" s="64" t="str">
        <x:v>MAI-1 Preview；MAI-Voice-1</x:v>
      </x:c>
      <x:c r="E37" s="64" t="str">
        <x:v>Copilot 自研前沿模型和低延迟语音</x:v>
      </x:c>
      <x:c r="F37" s="64" t="str">
        <x:v>Microsoft Copilot</x:v>
      </x:c>
      <x:c r="G37" s="96" t="str">
        <x:v>https://microsoft.ai/news/introducing-mai-1-preview-and-mai-voice-1/</x:v>
      </x:c>
      <x:c r="H37" s="91" t="str">
        <x:v>【公开事实】</x:v>
      </x:c>
    </x:row>
    <x:row r="38" ht="54" customHeight="1">
      <x:c r="A38" s="99" t="n">
        <x:v>2026</x:v>
      </x:c>
      <x:c r="B38" s="64" t="str">
        <x:v>Microsoft（Phi/MAI）</x:v>
      </x:c>
      <x:c r="C38" s="64" t="str">
        <x:v>2026-03</x:v>
      </x:c>
      <x:c r="D38" s="64" t="str">
        <x:v>Phi-4 Reasoning Vision 15B</x:v>
      </x:c>
      <x:c r="E38" s="64" t="str">
        <x:v>开放权重的视觉、数学、科学和 UI 理解</x:v>
      </x:c>
      <x:c r="F38" s="64" t="str">
        <x:v>本地、Azure、研究生态</x:v>
      </x:c>
      <x:c r="G38" s="96" t="str">
        <x:v>https://www.microsoft.com/en-us/research/wp-content/uploads/2026/03/Phi-4-reasoning-vision-15B-Tech-Report.pdf</x:v>
      </x:c>
      <x:c r="H38" s="91" t="str">
        <x:v>【公开事实】</x:v>
      </x:c>
    </x:row>
    <x:row r="39" ht="54" customHeight="1">
      <x:c r="A39" s="99" t="n">
        <x:v>2023</x:v>
      </x:c>
      <x:c r="B39" s="64" t="str">
        <x:v>NVIDIA（Nemotron）</x:v>
      </x:c>
      <x:c r="C39" s="64" t="str">
        <x:v>2023</x:v>
      </x:c>
      <x:c r="D39" s="64" t="str">
        <x:v>Nemotron-3</x:v>
      </x:c>
      <x:c r="E39" s="64" t="str">
        <x:v>面向企业生成与 NVIDIA 加速推理</x:v>
      </x:c>
      <x:c r="F39" s="64" t="str">
        <x:v>NVIDIA AI Foundation Models</x:v>
      </x:c>
      <x:c r="G39" s="96" t="str">
        <x:v>https://developer.nvidia.com/blog/nvidia-ai-foundation-models/</x:v>
      </x:c>
      <x:c r="H39" s="91" t="str">
        <x:v>【公开事实】</x:v>
      </x:c>
    </x:row>
    <x:row r="40" ht="54" customHeight="1">
      <x:c r="A40" s="99" t="n">
        <x:v>2024</x:v>
      </x:c>
      <x:c r="B40" s="64" t="str">
        <x:v>NVIDIA（Nemotron）</x:v>
      </x:c>
      <x:c r="C40" s="64" t="str">
        <x:v>2024</x:v>
      </x:c>
      <x:c r="D40" s="64" t="str">
        <x:v>Nemotron-4 340B；Llama-3.1-Nemotron</x:v>
      </x:c>
      <x:c r="E40" s="64" t="str">
        <x:v>合成数据、奖励模型与 Llama 后训练</x:v>
      </x:c>
      <x:c r="F40" s="64" t="str">
        <x:v>NIM、NeMo</x:v>
      </x:c>
      <x:c r="G40" s="96" t="str">
        <x:v>https://developer.nvidia.com/blog/building-nemotron-4-340b-with-nvidia-nemo/</x:v>
      </x:c>
      <x:c r="H40" s="91" t="str">
        <x:v>【公开事实】</x:v>
      </x:c>
    </x:row>
    <x:row r="41" ht="54" customHeight="1">
      <x:c r="A41" s="99" t="n">
        <x:v>2025</x:v>
      </x:c>
      <x:c r="B41" s="64" t="str">
        <x:v>NVIDIA（Nemotron）</x:v>
      </x:c>
      <x:c r="C41" s="64" t="str">
        <x:v>2025</x:v>
      </x:c>
      <x:c r="D41" s="64" t="str">
        <x:v>Llama Nemotron Nano / Super / Ultra</x:v>
      </x:c>
      <x:c r="E41" s="64" t="str">
        <x:v>推理、Agent、计算效率和开放数据</x:v>
      </x:c>
      <x:c r="F41" s="64" t="str">
        <x:v>NIM、自建、云</x:v>
      </x:c>
      <x:c r="G41" s="96" t="str">
        <x:v>https://developer.nvidia.com/blog/build-enterprise-ai-agents-with-advanced-open-nvidia-llama-nemotron-reasoning-models/</x:v>
      </x:c>
      <x:c r="H41" s="91" t="str">
        <x:v>【公开事实】</x:v>
      </x:c>
    </x:row>
    <x:row r="42" ht="54" customHeight="1">
      <x:c r="A42" s="99" t="n">
        <x:v>2026</x:v>
      </x:c>
      <x:c r="B42" s="64" t="str">
        <x:v>NVIDIA（Nemotron）</x:v>
      </x:c>
      <x:c r="C42" s="64" t="str">
        <x:v>2026-03 / 06 / 08</x:v>
      </x:c>
      <x:c r="D42" s="64" t="str">
        <x:v>Nemotron 3 Super / Ultra；3.5 Lightning；Nano Omni</x:v>
      </x:c>
      <x:c r="E42" s="64" t="str">
        <x:v>长周期规划、低成本执行层、多模态与安全栈</x:v>
      </x:c>
      <x:c r="F42" s="64" t="str">
        <x:v>NeMo、NIM、AI Enterprise</x:v>
      </x:c>
      <x:c r="G42" s="96" t="str">
        <x:v>https://developer.nvidia.com/blog/nvidia-nemotron-3-5-lightning-delivers-fast-accurate-specialized-task-execution-for-long-running-agents/</x:v>
      </x:c>
      <x:c r="H42" s="91" t="str">
        <x:v>【公开事实】</x:v>
      </x:c>
    </x:row>
    <x:row r="43" ht="54" customHeight="1">
      <x:c r="A43" s="99" t="n">
        <x:v>2023</x:v>
      </x:c>
      <x:c r="B43" s="64" t="str">
        <x:v>阿里云 / 通义千问 Qwen</x:v>
      </x:c>
      <x:c r="C43" s="64" t="str">
        <x:v>2023-08</x:v>
      </x:c>
      <x:c r="D43" s="64" t="str">
        <x:v>Qwen-7B / Qwen-VL / Qwen-Audio</x:v>
      </x:c>
      <x:c r="E43" s="64" t="str">
        <x:v>开源通用、视觉和音频模型生态</x:v>
      </x:c>
      <x:c r="F43" s="64" t="str">
        <x:v>通义、ModelScope、阿里云</x:v>
      </x:c>
      <x:c r="G43" s="96" t="str">
        <x:v>https://qwenlm.github.io/blog/qwen/</x:v>
      </x:c>
      <x:c r="H43" s="91" t="str">
        <x:v>【公开事实】</x:v>
      </x:c>
    </x:row>
    <x:row r="44" ht="54" customHeight="1">
      <x:c r="A44" s="99" t="n">
        <x:v>2024</x:v>
      </x:c>
      <x:c r="B44" s="64" t="str">
        <x:v>阿里云 / 通义千问 Qwen</x:v>
      </x:c>
      <x:c r="C44" s="64" t="str">
        <x:v>2024</x:v>
      </x:c>
      <x:c r="D44" s="64" t="str">
        <x:v>Qwen1.5 / Qwen2 / Qwen2.5；Coder/VL</x:v>
      </x:c>
      <x:c r="E44" s="64" t="str">
        <x:v>多规格开源、代码、数学、视觉与长上下文</x:v>
      </x:c>
      <x:c r="F44" s="64" t="str">
        <x:v>百炼、开源自建</x:v>
      </x:c>
      <x:c r="G44" s="96" t="str">
        <x:v>https://qwenlm.github.io/blog/</x:v>
      </x:c>
      <x:c r="H44" s="91" t="str">
        <x:v>【公开事实】</x:v>
      </x:c>
    </x:row>
    <x:row r="45" ht="54" customHeight="1">
      <x:c r="A45" s="99" t="n">
        <x:v>2025</x:v>
      </x:c>
      <x:c r="B45" s="64" t="str">
        <x:v>阿里云 / 通义千问 Qwen</x:v>
      </x:c>
      <x:c r="C45" s="64" t="str">
        <x:v>2025-04</x:v>
      </x:c>
      <x:c r="D45" s="64" t="str">
        <x:v>Qwen3；Qwen3-Coder</x:v>
      </x:c>
      <x:c r="E45" s="64" t="str">
        <x:v>混合思考、MoE、Agent、代码与 MCP</x:v>
      </x:c>
      <x:c r="F45" s="64" t="str">
        <x:v>千问、Qwen Chat、百炼</x:v>
      </x:c>
      <x:c r="G45" s="96" t="str">
        <x:v>https://qwenlm.github.io/blog/qwen3/</x:v>
      </x:c>
      <x:c r="H45" s="91" t="str">
        <x:v>【公开事实】</x:v>
      </x:c>
    </x:row>
    <x:row r="46" ht="54" customHeight="1">
      <x:c r="A46" s="99" t="n">
        <x:v>2026</x:v>
      </x:c>
      <x:c r="B46" s="64" t="str">
        <x:v>阿里云 / 通义千问 Qwen</x:v>
      </x:c>
      <x:c r="C46" s="64" t="str">
        <x:v>2026</x:v>
      </x:c>
      <x:c r="D46" s="64" t="str">
        <x:v>Qwen3.5 → Qwen3.8-Max</x:v>
      </x:c>
      <x:c r="E46" s="64" t="str">
        <x:v>原生多模态、1M 上下文、长任务 Agent</x:v>
      </x:c>
      <x:c r="F46" s="64" t="str">
        <x:v>QwenWork、百炼</x:v>
      </x:c>
      <x:c r="G46" s="96" t="str">
        <x:v>https://www.alibabacloud.com/en/press-room/alibaba-unveils-qwen3-8-max</x:v>
      </x:c>
      <x:c r="H46" s="91" t="str">
        <x:v>【公开事实】</x:v>
      </x:c>
    </x:row>
    <x:row r="47" ht="54" customHeight="1">
      <x:c r="A47" s="99" t="n">
        <x:v>2023</x:v>
      </x:c>
      <x:c r="B47" s="64" t="str">
        <x:v>百度 / 文心 ERNIE</x:v>
      </x:c>
      <x:c r="C47" s="64" t="str">
        <x:v>2023-03 / 10</x:v>
      </x:c>
      <x:c r="D47" s="64" t="str">
        <x:v>文心一言；ERNIE 3.5 / 4.0</x:v>
      </x:c>
      <x:c r="E47" s="64" t="str">
        <x:v>中文知识、搜索与企业开发平台</x:v>
      </x:c>
      <x:c r="F47" s="64" t="str">
        <x:v>文心一言、千帆</x:v>
      </x:c>
      <x:c r="G47" s="96" t="str">
        <x:v>https://cloud.baidu.com/product-s/qianfan_home</x:v>
      </x:c>
      <x:c r="H47" s="91" t="str">
        <x:v>【公开事实】</x:v>
      </x:c>
    </x:row>
    <x:row r="48" ht="54" customHeight="1">
      <x:c r="A48" s="99" t="n">
        <x:v>2024</x:v>
      </x:c>
      <x:c r="B48" s="64" t="str">
        <x:v>百度 / 文心 ERNIE</x:v>
      </x:c>
      <x:c r="C48" s="64" t="str">
        <x:v>2024</x:v>
      </x:c>
      <x:c r="D48" s="64" t="str">
        <x:v>ERNIE 4.0 Turbo；Speed/Lite/Tiny</x:v>
      </x:c>
      <x:c r="E48" s="64" t="str">
        <x:v>更低成本、更快推理与 128K 档位</x:v>
      </x:c>
      <x:c r="F48" s="64" t="str">
        <x:v>千帆 ModelBuilder</x:v>
      </x:c>
      <x:c r="G48" s="96" t="str">
        <x:v>https://ai.baidu.com/ai-doc/WENXINWORKSHOP/wlwg8f1i3</x:v>
      </x:c>
      <x:c r="H48" s="91" t="str">
        <x:v>【公开事实】</x:v>
      </x:c>
    </x:row>
    <x:row r="49" ht="54" customHeight="1">
      <x:c r="A49" s="99" t="n">
        <x:v>2025</x:v>
      </x:c>
      <x:c r="B49" s="64" t="str">
        <x:v>百度 / 文心 ERNIE</x:v>
      </x:c>
      <x:c r="C49" s="64" t="str">
        <x:v>2025</x:v>
      </x:c>
      <x:c r="D49" s="64" t="str">
        <x:v>ERNIE 4.5；ERNIE X1</x:v>
      </x:c>
      <x:c r="E49" s="64" t="str">
        <x:v>多模态与深度推理、工具调用</x:v>
      </x:c>
      <x:c r="F49" s="64" t="str">
        <x:v>文小言、搜索、千帆</x:v>
      </x:c>
      <x:c r="G49" s="96" t="str">
        <x:v>https://ernie.baidu.com/blog/</x:v>
      </x:c>
      <x:c r="H49" s="91" t="str">
        <x:v>【公开事实】</x:v>
      </x:c>
    </x:row>
    <x:row r="50" ht="54" customHeight="1">
      <x:c r="A50" s="99" t="n">
        <x:v>2026</x:v>
      </x:c>
      <x:c r="B50" s="64" t="str">
        <x:v>百度 / 文心 ERNIE</x:v>
      </x:c>
      <x:c r="C50" s="64" t="str">
        <x:v>2026-01 / 07</x:v>
      </x:c>
      <x:c r="D50" s="64" t="str">
        <x:v>ERNIE 5.0 / 5.1</x:v>
      </x:c>
      <x:c r="E50" s="64" t="str">
        <x:v>统一全模态、Agent、事实性与长任务</x:v>
      </x:c>
      <x:c r="F50" s="64" t="str">
        <x:v>千帆、百度搜索/文库</x:v>
      </x:c>
      <x:c r="G50" s="96" t="str">
        <x:v>https://cloud.baidu.cn/news/news_eacd5e1a-b6ad-4874-b920-15390d26e656</x:v>
      </x:c>
      <x:c r="H50" s="91" t="str">
        <x:v>【公开事实】</x:v>
      </x:c>
    </x:row>
    <x:row r="51" ht="54" customHeight="1">
      <x:c r="A51" s="99" t="n">
        <x:v>2023</x:v>
      </x:c>
      <x:c r="B51" s="64" t="str">
        <x:v>字节跳动 / 豆包 Seed</x:v>
      </x:c>
      <x:c r="C51" s="64" t="str">
        <x:v>2023</x:v>
      </x:c>
      <x:c r="D51" s="64" t="str">
        <x:v>火山方舟上线；云雀/早期豆包模型</x:v>
      </x:c>
      <x:c r="E51" s="64" t="str">
        <x:v>大模型推理、评测、精调和应用开发入口</x:v>
      </x:c>
      <x:c r="F51" s="64" t="str">
        <x:v>火山方舟</x:v>
      </x:c>
      <x:c r="G51" s="96" t="str">
        <x:v>https://www.volcengine.com/docs/82379/66619f8df281250274ef4f88</x:v>
      </x:c>
      <x:c r="H51" s="91" t="str">
        <x:v>【公开事实】</x:v>
      </x:c>
    </x:row>
    <x:row r="52" ht="54" customHeight="1">
      <x:c r="A52" s="99" t="n">
        <x:v>2024</x:v>
      </x:c>
      <x:c r="B52" s="64" t="str">
        <x:v>字节跳动 / 豆包 Seed</x:v>
      </x:c>
      <x:c r="C52" s="64" t="str">
        <x:v>2024-05</x:v>
      </x:c>
      <x:c r="D52" s="64" t="str">
        <x:v>豆包大模型家族；扣子专业版</x:v>
      </x:c>
      <x:c r="E52" s="64" t="str">
        <x:v>低价格大规模 API、Bot/Agent 构建</x:v>
      </x:c>
      <x:c r="F52" s="64" t="str">
        <x:v>豆包、火山方舟、扣子</x:v>
      </x:c>
      <x:c r="G52" s="96" t="str">
        <x:v>https://www.volcengine.com/product/doubao</x:v>
      </x:c>
      <x:c r="H52" s="91" t="str">
        <x:v>【公开事实】</x:v>
      </x:c>
    </x:row>
    <x:row r="53" ht="54" customHeight="1">
      <x:c r="A53" s="99" t="n">
        <x:v>2025</x:v>
      </x:c>
      <x:c r="B53" s="64" t="str">
        <x:v>字节跳动 / 豆包 Seed</x:v>
      </x:c>
      <x:c r="C53" s="64" t="str">
        <x:v>2025</x:v>
      </x:c>
      <x:c r="D53" s="64" t="str">
        <x:v>Seed 1.x；Seedance 1.0；Seed-OSS</x:v>
      </x:c>
      <x:c r="E53" s="64" t="str">
        <x:v>Agent、多模态、视频、开源模型与代码</x:v>
      </x:c>
      <x:c r="F53" s="64" t="str">
        <x:v>豆包、TRAE、即梦</x:v>
      </x:c>
      <x:c r="G53" s="96" t="str">
        <x:v>https://seed.bytedance.com/en/</x:v>
      </x:c>
      <x:c r="H53" s="91" t="str">
        <x:v>【公开事实】</x:v>
      </x:c>
    </x:row>
    <x:row r="54" ht="54" customHeight="1">
      <x:c r="A54" s="99" t="n">
        <x:v>2026</x:v>
      </x:c>
      <x:c r="B54" s="64" t="str">
        <x:v>字节跳动 / 豆包 Seed</x:v>
      </x:c>
      <x:c r="C54" s="64" t="str">
        <x:v>2026</x:v>
      </x:c>
      <x:c r="D54" s="64" t="str">
        <x:v>Seed 2.0 / 2.1；Seedance 2.5；Seedream 5</x:v>
      </x:c>
      <x:c r="E54" s="64" t="str">
        <x:v>复杂 Agent、GUI/代码、视听内容工业化</x:v>
      </x:c>
      <x:c r="F54" s="64" t="str">
        <x:v>豆包、TRAE、火山方舟</x:v>
      </x:c>
      <x:c r="G54" s="96" t="str">
        <x:v>https://seed.bytedance.com/en/blog/seed2-1-officially-released-advancing-ai-productivity</x:v>
      </x:c>
      <x:c r="H54" s="91" t="str">
        <x:v>【公开事实】</x:v>
      </x:c>
    </x:row>
    <x:row r="55" ht="54" customHeight="1">
      <x:c r="A55" s="99" t="n">
        <x:v>2023</x:v>
      </x:c>
      <x:c r="B55" s="64" t="str">
        <x:v>腾讯 / 混元 Hy</x:v>
      </x:c>
      <x:c r="C55" s="64" t="str">
        <x:v>2023-09</x:v>
      </x:c>
      <x:c r="D55" s="64" t="str">
        <x:v>腾讯混元</x:v>
      </x:c>
      <x:c r="E55" s="64" t="str">
        <x:v>中文创作、逻辑推理与腾讯云 API</x:v>
      </x:c>
      <x:c r="F55" s="64" t="str">
        <x:v>腾讯云、腾讯内部产品</x:v>
      </x:c>
      <x:c r="G55" s="96" t="str">
        <x:v>https://cloud.tencent.com/developer/article/2325551</x:v>
      </x:c>
      <x:c r="H55" s="91" t="str">
        <x:v>【公开事实】</x:v>
      </x:c>
    </x:row>
    <x:row r="56" ht="54" customHeight="1">
      <x:c r="A56" s="99" t="n">
        <x:v>2024</x:v>
      </x:c>
      <x:c r="B56" s="64" t="str">
        <x:v>腾讯 / 混元 Hy</x:v>
      </x:c>
      <x:c r="C56" s="64" t="str">
        <x:v>2024</x:v>
      </x:c>
      <x:c r="D56" s="64" t="str">
        <x:v>混元 Large / 多模态与 3D 系列</x:v>
      </x:c>
      <x:c r="E56" s="64" t="str">
        <x:v>通用能力扩展到图像、视频、3D</x:v>
      </x:c>
      <x:c r="F56" s="64" t="str">
        <x:v>腾讯元宝、混元平台</x:v>
      </x:c>
      <x:c r="G56" s="96" t="str">
        <x:v>https://cloud.tencent.com/product/hunyuan</x:v>
      </x:c>
      <x:c r="H56" s="91" t="str">
        <x:v>【公开事实】</x:v>
      </x:c>
    </x:row>
    <x:row r="57" ht="54" customHeight="1">
      <x:c r="A57" s="99" t="n">
        <x:v>2025</x:v>
      </x:c>
      <x:c r="B57" s="64" t="str">
        <x:v>腾讯 / 混元 Hy</x:v>
      </x:c>
      <x:c r="C57" s="64" t="str">
        <x:v>2025</x:v>
      </x:c>
      <x:c r="D57" s="64" t="str">
        <x:v>Turbo S / T1</x:v>
      </x:c>
      <x:c r="E57" s="64" t="str">
        <x:v>快思考/深度推理、代码与工具调用</x:v>
      </x:c>
      <x:c r="F57" s="64" t="str">
        <x:v>腾讯元宝、ima、腾讯云</x:v>
      </x:c>
      <x:c r="G57" s="96" t="str">
        <x:v>https://hunyuan.tencent.com/</x:v>
      </x:c>
      <x:c r="H57" s="91" t="str">
        <x:v>【公开事实】</x:v>
      </x:c>
    </x:row>
    <x:row r="58" ht="54" customHeight="1">
      <x:c r="A58" s="99" t="n">
        <x:v>2026</x:v>
      </x:c>
      <x:c r="B58" s="64" t="str">
        <x:v>腾讯 / 混元 Hy</x:v>
      </x:c>
      <x:c r="C58" s="64" t="str">
        <x:v>2026</x:v>
      </x:c>
      <x:c r="D58" s="64" t="str">
        <x:v>Hy3</x:v>
      </x:c>
      <x:c r="E58" s="64" t="str">
        <x:v>256K、混合思考与 Agent，迁移至 TokenHub</x:v>
      </x:c>
      <x:c r="F58" s="64" t="str">
        <x:v>WorkBuddy、CodeBuddy、元宝、TokenHub</x:v>
      </x:c>
      <x:c r="G58" s="96" t="str">
        <x:v>https://www.tencent.com/zh-cn/tencent-hunyuan-officially-releases-hy3-advancing-agent-capabilities-and-deeper-product-integration/</x:v>
      </x:c>
      <x:c r="H58" s="91" t="str">
        <x:v>【公开事实】</x:v>
      </x:c>
    </x:row>
    <x:row r="59" ht="54" customHeight="1">
      <x:c r="A59" s="99" t="n">
        <x:v>2023</x:v>
      </x:c>
      <x:c r="B59" s="64" t="str">
        <x:v>智谱 AI / GLM</x:v>
      </x:c>
      <x:c r="C59" s="64" t="str">
        <x:v>2023</x:v>
      </x:c>
      <x:c r="D59" s="64" t="str">
        <x:v>ChatGLM2 / ChatGLM3</x:v>
      </x:c>
      <x:c r="E59" s="64" t="str">
        <x:v>中文开源对话与 Agent 初步能力</x:v>
      </x:c>
      <x:c r="F59" s="64" t="str">
        <x:v>智谱清言、BigModel</x:v>
      </x:c>
      <x:c r="G59" s="96" t="str">
        <x:v>https://github.com/THUDM/ChatGLM3</x:v>
      </x:c>
      <x:c r="H59" s="91" t="str">
        <x:v>【公开事实】</x:v>
      </x:c>
    </x:row>
    <x:row r="60" ht="54" customHeight="1">
      <x:c r="A60" s="99" t="n">
        <x:v>2024</x:v>
      </x:c>
      <x:c r="B60" s="64" t="str">
        <x:v>智谱 AI / GLM</x:v>
      </x:c>
      <x:c r="C60" s="64" t="str">
        <x:v>2024-01</x:v>
      </x:c>
      <x:c r="D60" s="64" t="str">
        <x:v>GLM-4 / 4-Plus / 4V</x:v>
      </x:c>
      <x:c r="E60" s="64" t="str">
        <x:v>128K、视觉、工具使用与 MaaS</x:v>
      </x:c>
      <x:c r="F60" s="64" t="str">
        <x:v>智谱清言、开放平台</x:v>
      </x:c>
      <x:c r="G60" s="96" t="str">
        <x:v>https://docs.bigmodel.cn/cn/guide/start/model-overview</x:v>
      </x:c>
      <x:c r="H60" s="91" t="str">
        <x:v>【公开事实】</x:v>
      </x:c>
    </x:row>
    <x:row r="61" ht="54" customHeight="1">
      <x:c r="A61" s="99" t="n">
        <x:v>2025</x:v>
      </x:c>
      <x:c r="B61" s="64" t="str">
        <x:v>智谱 AI / GLM</x:v>
      </x:c>
      <x:c r="C61" s="64" t="str">
        <x:v>2025-07</x:v>
      </x:c>
      <x:c r="D61" s="64" t="str">
        <x:v>GLM-4.5 / 4.5V</x:v>
      </x:c>
      <x:c r="E61" s="64" t="str">
        <x:v>Agent、Coding、视觉推理与开源权重</x:v>
      </x:c>
      <x:c r="F61" s="64" t="str">
        <x:v>AutoGLM、Coding Plan、API</x:v>
      </x:c>
      <x:c r="G61" s="96" t="str">
        <x:v>https://docs.bigmodel.cn/cn/guide/models/text/glm-4.5</x:v>
      </x:c>
      <x:c r="H61" s="91" t="str">
        <x:v>【公开事实】</x:v>
      </x:c>
    </x:row>
    <x:row r="62" ht="54" customHeight="1">
      <x:c r="A62" s="99" t="n">
        <x:v>2026</x:v>
      </x:c>
      <x:c r="B62" s="64" t="str">
        <x:v>智谱 AI / GLM</x:v>
      </x:c>
      <x:c r="C62" s="64" t="str">
        <x:v>2026</x:v>
      </x:c>
      <x:c r="D62" s="64" t="str">
        <x:v>GLM-5 / 5.1 / 5.2；GLM-5V-Turbo</x:v>
      </x:c>
      <x:c r="E62" s="64" t="str">
        <x:v>长周期工程 Agent、1M 上下文、视觉行动</x:v>
      </x:c>
      <x:c r="F62" s="64" t="str">
        <x:v>Coding Plan、BigModel</x:v>
      </x:c>
      <x:c r="G62" s="96" t="str">
        <x:v>https://docs.bigmodel.cn/cn/guide/models/text/glm-5.2</x:v>
      </x:c>
      <x:c r="H62" s="91" t="str">
        <x:v>【公开事实】</x:v>
      </x:c>
    </x:row>
    <x:row r="63" ht="54" customHeight="1">
      <x:c r="A63" s="99" t="n">
        <x:v>2023</x:v>
      </x:c>
      <x:c r="B63" s="64" t="str">
        <x:v>DeepSeek</x:v>
      </x:c>
      <x:c r="C63" s="64" t="str">
        <x:v>2023-11</x:v>
      </x:c>
      <x:c r="D63" s="64" t="str">
        <x:v>DeepSeek Coder / LLM</x:v>
      </x:c>
      <x:c r="E63" s="64" t="str">
        <x:v>代码和通用开源模型</x:v>
      </x:c>
      <x:c r="F63" s="64" t="str">
        <x:v>开源仓库、API</x:v>
      </x:c>
      <x:c r="G63" s="96" t="str">
        <x:v>https://github.com/deepseek-ai</x:v>
      </x:c>
      <x:c r="H63" s="91" t="str">
        <x:v>【公开事实】</x:v>
      </x:c>
    </x:row>
    <x:row r="64" ht="54" customHeight="1">
      <x:c r="A64" s="99" t="n">
        <x:v>2024</x:v>
      </x:c>
      <x:c r="B64" s="64" t="str">
        <x:v>DeepSeek</x:v>
      </x:c>
      <x:c r="C64" s="64" t="str">
        <x:v>2024-05 / 12</x:v>
      </x:c>
      <x:c r="D64" s="64" t="str">
        <x:v>DeepSeek V2 / V2.5 / V3</x:v>
      </x:c>
      <x:c r="E64" s="64" t="str">
        <x:v>MoE、MLA、低成本与更高吞吐</x:v>
      </x:c>
      <x:c r="F64" s="64" t="str">
        <x:v>DeepSeek Chat、API、开源</x:v>
      </x:c>
      <x:c r="G64" s="96" t="str">
        <x:v>https://api-docs.deepseek.com/news/news1226/</x:v>
      </x:c>
      <x:c r="H64" s="91" t="str">
        <x:v>【公开事实】</x:v>
      </x:c>
    </x:row>
    <x:row r="65" ht="54" customHeight="1">
      <x:c r="A65" s="99" t="n">
        <x:v>2025</x:v>
      </x:c>
      <x:c r="B65" s="64" t="str">
        <x:v>DeepSeek</x:v>
      </x:c>
      <x:c r="C65" s="64" t="str">
        <x:v>2025-01 / 12</x:v>
      </x:c>
      <x:c r="D65" s="64" t="str">
        <x:v>DeepSeek R1；V3.1 / V3.2</x:v>
      </x:c>
      <x:c r="E65" s="64" t="str">
        <x:v>开放推理、工具调用、Agent 与蒸馏模型</x:v>
      </x:c>
      <x:c r="F65" s="64" t="str">
        <x:v>API、开源权重</x:v>
      </x:c>
      <x:c r="G65" s="96" t="str">
        <x:v>https://github.com/deepseek-ai/DeepSeek-R1</x:v>
      </x:c>
      <x:c r="H65" s="91" t="str">
        <x:v>【公开事实】</x:v>
      </x:c>
    </x:row>
    <x:row r="66" ht="54" customHeight="1">
      <x:c r="A66" s="99" t="n">
        <x:v>2026</x:v>
      </x:c>
      <x:c r="B66" s="64" t="str">
        <x:v>DeepSeek</x:v>
      </x:c>
      <x:c r="C66" s="64" t="str">
        <x:v>2026-04</x:v>
      </x:c>
      <x:c r="D66" s="64" t="str">
        <x:v>DeepSeek V4 Pro / Flash</x:v>
      </x:c>
      <x:c r="E66" s="64" t="str">
        <x:v>1M 上下文、推理/非推理双模式、Agent Coding</x:v>
      </x:c>
      <x:c r="F66" s="64" t="str">
        <x:v>Chat、API、开源</x:v>
      </x:c>
      <x:c r="G66" s="96" t="str">
        <x:v>https://api-docs.deepseek.com/news/news260424</x:v>
      </x:c>
      <x:c r="H66" s="91" t="str">
        <x:v>【公开事实】</x:v>
      </x:c>
    </x:row>
    <x:row r="67" ht="54" customHeight="1">
      <x:c r="A67" s="99" t="n">
        <x:v>2023</x:v>
      </x:c>
      <x:c r="B67" s="64" t="str">
        <x:v>月之暗面 / Kimi</x:v>
      </x:c>
      <x:c r="C67" s="64" t="str">
        <x:v>2023-10</x:v>
      </x:c>
      <x:c r="D67" s="64" t="str">
        <x:v>Kimi 智能助手 / Moonshot V1</x:v>
      </x:c>
      <x:c r="E67" s="64" t="str">
        <x:v>超长文本与文件阅读</x:v>
      </x:c>
      <x:c r="F67" s="64" t="str">
        <x:v>Kimi、开放平台</x:v>
      </x:c>
      <x:c r="G67" s="96" t="str">
        <x:v>https://www.moonshot.ai/</x:v>
      </x:c>
      <x:c r="H67" s="91" t="str">
        <x:v>【公开事实】</x:v>
      </x:c>
    </x:row>
    <x:row r="68" ht="54" customHeight="1">
      <x:c r="A68" s="99" t="n">
        <x:v>2024</x:v>
      </x:c>
      <x:c r="B68" s="64" t="str">
        <x:v>月之暗面 / Kimi</x:v>
      </x:c>
      <x:c r="C68" s="64" t="str">
        <x:v>2024</x:v>
      </x:c>
      <x:c r="D68" s="64" t="str">
        <x:v>128K/长上下文与 Context Caching</x:v>
      </x:c>
      <x:c r="E68" s="64" t="str">
        <x:v>长文档、搜索与缓存降本</x:v>
      </x:c>
      <x:c r="F68" s="64" t="str">
        <x:v>Kimi、Kimi API</x:v>
      </x:c>
      <x:c r="G68" s="96" t="str">
        <x:v>https://platform.kimi.com/blog/posts/context-caching</x:v>
      </x:c>
      <x:c r="H68" s="91" t="str">
        <x:v>【公开事实】</x:v>
      </x:c>
    </x:row>
    <x:row r="69" ht="54" customHeight="1">
      <x:c r="A69" s="99" t="n">
        <x:v>2025</x:v>
      </x:c>
      <x:c r="B69" s="64" t="str">
        <x:v>月之暗面 / Kimi</x:v>
      </x:c>
      <x:c r="C69" s="64" t="str">
        <x:v>2025</x:v>
      </x:c>
      <x:c r="D69" s="64" t="str">
        <x:v>Kimi K2 / K2 Thinking</x:v>
      </x:c>
      <x:c r="E69" s="64" t="str">
        <x:v>代码、工具调用与长链路 Agent</x:v>
      </x:c>
      <x:c r="F69" s="64" t="str">
        <x:v>Kimi、API、开源</x:v>
      </x:c>
      <x:c r="G69" s="96" t="str">
        <x:v>https://platform.kimi.com/docs/pricing/chat</x:v>
      </x:c>
      <x:c r="H69" s="91" t="str">
        <x:v>【公开事实】</x:v>
      </x:c>
    </x:row>
    <x:row r="70" ht="54" customHeight="1">
      <x:c r="A70" s="99" t="n">
        <x:v>2026</x:v>
      </x:c>
      <x:c r="B70" s="64" t="str">
        <x:v>月之暗面 / Kimi</x:v>
      </x:c>
      <x:c r="C70" s="64" t="str">
        <x:v>2026-01 / 07</x:v>
      </x:c>
      <x:c r="D70" s="64" t="str">
        <x:v>K2.5；Kimi K3</x:v>
      </x:c>
      <x:c r="E70" s="64" t="str">
        <x:v>原生多模态、1M 上下文、软件工程与知识工作</x:v>
      </x:c>
      <x:c r="F70" s="64" t="str">
        <x:v>Kimi、API、开源</x:v>
      </x:c>
      <x:c r="G70" s="96" t="str">
        <x:v>https://forum.moonshot.ai/t/kimi-k3-is-here-our-most-capable-model/480</x:v>
      </x:c>
      <x:c r="H70" s="91" t="str">
        <x:v>【公开事实】</x:v>
      </x:c>
    </x:row>
    <x:row r="71" ht="54" customHeight="1">
      <x:c r="A71" s="99" t="n">
        <x:v>2023</x:v>
      </x:c>
      <x:c r="B71" s="64" t="str">
        <x:v>MiniMax</x:v>
      </x:c>
      <x:c r="C71" s="64" t="str">
        <x:v>2023</x:v>
      </x:c>
      <x:c r="D71" s="64" t="str">
        <x:v>abab 系列；角色/语音与全球消费产品</x:v>
      </x:c>
      <x:c r="E71" s="64" t="str">
        <x:v>对话、角色、语音与多模态产品化</x:v>
      </x:c>
      <x:c r="F71" s="64" t="str">
        <x:v>MiniMax API、Talkie 等</x:v>
      </x:c>
      <x:c r="G71" s="96" t="str">
        <x:v>https://www.minimax.io/</x:v>
      </x:c>
      <x:c r="H71" s="91" t="str">
        <x:v>【公开事实】</x:v>
      </x:c>
    </x:row>
    <x:row r="72" ht="54" customHeight="1">
      <x:c r="A72" s="99" t="n">
        <x:v>2024</x:v>
      </x:c>
      <x:c r="B72" s="64" t="str">
        <x:v>MiniMax</x:v>
      </x:c>
      <x:c r="C72" s="64" t="str">
        <x:v>2024</x:v>
      </x:c>
      <x:c r="D72" s="64" t="str">
        <x:v>abab 6.x；海螺视频/语音</x:v>
      </x:c>
      <x:c r="E72" s="64" t="str">
        <x:v>长上下文、视频与语音能力</x:v>
      </x:c>
      <x:c r="F72" s="64" t="str">
        <x:v>海螺 AI、开放平台</x:v>
      </x:c>
      <x:c r="G72" s="96" t="str">
        <x:v>https://www.minimax.io/news</x:v>
      </x:c>
      <x:c r="H72" s="91" t="str">
        <x:v>【公开事实】</x:v>
      </x:c>
    </x:row>
    <x:row r="73" ht="54" customHeight="1">
      <x:c r="A73" s="99" t="n">
        <x:v>2025</x:v>
      </x:c>
      <x:c r="B73" s="64" t="str">
        <x:v>MiniMax</x:v>
      </x:c>
      <x:c r="C73" s="64" t="str">
        <x:v>2025-01 / 06 / 10</x:v>
      </x:c>
      <x:c r="D73" s="64" t="str">
        <x:v>MiniMax-01；M1；M2/M2.1</x:v>
      </x:c>
      <x:c r="E73" s="64" t="str">
        <x:v>4M 上下文、推理、Agent Coding</x:v>
      </x:c>
      <x:c r="F73" s="64" t="str">
        <x:v>MiniMax Agent、API</x:v>
      </x:c>
      <x:c r="G73" s="96" t="str">
        <x:v>https://www.minimax.io/news/minimax-01-series-2</x:v>
      </x:c>
      <x:c r="H73" s="91" t="str">
        <x:v>【公开事实】</x:v>
      </x:c>
    </x:row>
    <x:row r="74" ht="54" customHeight="1">
      <x:c r="A74" s="99" t="n">
        <x:v>2026</x:v>
      </x:c>
      <x:c r="B74" s="64" t="str">
        <x:v>MiniMax</x:v>
      </x:c>
      <x:c r="C74" s="64" t="str">
        <x:v>2026</x:v>
      </x:c>
      <x:c r="D74" s="64" t="str">
        <x:v>M2.5 / M2.7；Hailuo 2.3</x:v>
      </x:c>
      <x:c r="E74" s="64" t="str">
        <x:v>代码 Agent、Office Skills、视频和语音</x:v>
      </x:c>
      <x:c r="F74" s="64" t="str">
        <x:v>MiniMax Agent、海螺、API</x:v>
      </x:c>
      <x:c r="G74" s="96" t="str">
        <x:v>https://platform.minimaxi.com/docs/guides/pricing-paygo</x:v>
      </x:c>
      <x:c r="H74" s="91" t="str">
        <x:v>【公开事实】</x:v>
      </x:c>
    </x:row>
    <x:row r="75" ht="54" customHeight="1">
      <x:c r="A75" s="99" t="n">
        <x:v>2023</x:v>
      </x:c>
      <x:c r="B75" s="64" t="str">
        <x:v>科大讯飞 / 星火</x:v>
      </x:c>
      <x:c r="C75" s="64" t="str">
        <x:v>2023-05 起</x:v>
      </x:c>
      <x:c r="D75" s="64" t="str">
        <x:v>讯飞星火 V1.x → V3.0</x:v>
      </x:c>
      <x:c r="E75" s="64" t="str">
        <x:v>中文对话、知识、代码并融合语音优势</x:v>
      </x:c>
      <x:c r="F75" s="64" t="str">
        <x:v>讯飞星火、行业应用</x:v>
      </x:c>
      <x:c r="G75" s="96" t="str">
        <x:v>https://xinghuo.xfyun.cn/</x:v>
      </x:c>
      <x:c r="H75" s="91" t="str">
        <x:v>【公开事实】</x:v>
      </x:c>
    </x:row>
    <x:row r="76" ht="54" customHeight="1">
      <x:c r="A76" s="99" t="n">
        <x:v>2024</x:v>
      </x:c>
      <x:c r="B76" s="64" t="str">
        <x:v>科大讯飞 / 星火</x:v>
      </x:c>
      <x:c r="C76" s="64" t="str">
        <x:v>2024</x:v>
      </x:c>
      <x:c r="D76" s="64" t="str">
        <x:v>星火 V3.5 / 4.0</x:v>
      </x:c>
      <x:c r="E76" s="64" t="str">
        <x:v>长文本、多模态、数学代码与工具</x:v>
      </x:c>
      <x:c r="F76" s="64" t="str">
        <x:v>星火桌面端、API</x:v>
      </x:c>
      <x:c r="G76" s="96" t="str">
        <x:v>https://xinghuo.xfyun.cn/news</x:v>
      </x:c>
      <x:c r="H76" s="91" t="str">
        <x:v>【公开事实】</x:v>
      </x:c>
    </x:row>
    <x:row r="77" ht="54" customHeight="1">
      <x:c r="A77" s="99" t="n">
        <x:v>2025</x:v>
      </x:c>
      <x:c r="B77" s="64" t="str">
        <x:v>科大讯飞 / 星火</x:v>
      </x:c>
      <x:c r="C77" s="64" t="str">
        <x:v>2025</x:v>
      </x:c>
      <x:c r="D77" s="64" t="str">
        <x:v>星火 X1 / X1.5</x:v>
      </x:c>
      <x:c r="E77" s="64" t="str">
        <x:v>深度推理、国产算力与行业落地</x:v>
      </x:c>
      <x:c r="F77" s="64" t="str">
        <x:v>教育、办公、车载、政企</x:v>
      </x:c>
      <x:c r="G77" s="96" t="str">
        <x:v>https://training.xfyun.cn/modelSquare</x:v>
      </x:c>
      <x:c r="H77" s="91" t="str">
        <x:v>【公开事实】</x:v>
      </x:c>
    </x:row>
    <x:row r="78" ht="54" customHeight="1">
      <x:c r="A78" s="99" t="n">
        <x:v>2026</x:v>
      </x:c>
      <x:c r="B78" s="64" t="str">
        <x:v>科大讯飞 / 星火</x:v>
      </x:c>
      <x:c r="C78" s="64" t="str">
        <x:v>2026</x:v>
      </x:c>
      <x:c r="D78" s="64" t="str">
        <x:v>星火 X2 / X2 Flash</x:v>
      </x:c>
      <x:c r="E78" s="64" t="str">
        <x:v>Agent、代码、推理与低成本高并发</x:v>
      </x:c>
      <x:c r="F78" s="64" t="str">
        <x:v>星火 API、行业私有化</x:v>
      </x:c>
      <x:c r="G78" s="96" t="str">
        <x:v>https://xinghuo.xfyun.cn/sparkapi</x:v>
      </x:c>
      <x:c r="H78" s="91" t="str">
        <x:v>【公开事实】</x:v>
      </x:c>
    </x:row>
    <x:row r="79" ht="54" customHeight="1">
      <x:c r="A79" s="99" t="n">
        <x:v>2023</x:v>
      </x:c>
      <x:c r="B79" s="64" t="str">
        <x:v>华为云 / 盘古</x:v>
      </x:c>
      <x:c r="C79" s="64" t="str">
        <x:v>2023-07</x:v>
      </x:c>
      <x:c r="D79" s="64" t="str">
        <x:v>盘古 3.0</x:v>
      </x:c>
      <x:c r="E79" s="64" t="str">
        <x:v>“5+N+X”分层行业大模型体系</x:v>
      </x:c>
      <x:c r="F79" s="64" t="str">
        <x:v>华为云、行业方案</x:v>
      </x:c>
      <x:c r="G79" s="96" t="str">
        <x:v>https://www.huaweicloud.com/intl/th-th/news/22313213.html</x:v>
      </x:c>
      <x:c r="H79" s="91" t="str">
        <x:v>【公开事实】</x:v>
      </x:c>
    </x:row>
    <x:row r="80" ht="54" customHeight="1">
      <x:c r="A80" s="99" t="n">
        <x:v>2024</x:v>
      </x:c>
      <x:c r="B80" s="64" t="str">
        <x:v>华为云 / 盘古</x:v>
      </x:c>
      <x:c r="C80" s="64" t="str">
        <x:v>2024</x:v>
      </x:c>
      <x:c r="D80" s="64" t="str">
        <x:v>盘古 5.0</x:v>
      </x:c>
      <x:c r="E80" s="64" t="str">
        <x:v>多规格、全模态与行业模型升级</x:v>
      </x:c>
      <x:c r="F80" s="64" t="str">
        <x:v>ModelArts、昇腾</x:v>
      </x:c>
      <x:c r="G80" s="96" t="str">
        <x:v>https://www.huaweicloud.com/product/pangu.html</x:v>
      </x:c>
      <x:c r="H80" s="91" t="str">
        <x:v>【公开事实】</x:v>
      </x:c>
    </x:row>
    <x:row r="81" ht="54" customHeight="1">
      <x:c r="A81" s="99" t="n">
        <x:v>2025</x:v>
      </x:c>
      <x:c r="B81" s="64" t="str">
        <x:v>华为云 / 盘古</x:v>
      </x:c>
      <x:c r="C81" s="64" t="str">
        <x:v>2025-06</x:v>
      </x:c>
      <x:c r="D81" s="64" t="str">
        <x:v>盘古 5.5</x:v>
      </x:c>
      <x:c r="E81" s="64" t="str">
        <x:v>深度思考、科学计算与行业 Agent</x:v>
      </x:c>
      <x:c r="F81" s="64" t="str">
        <x:v>华为云、CodeArts、专属部署</x:v>
      </x:c>
      <x:c r="G81" s="96" t="str">
        <x:v>https://www.huaweicloud.com/eu/news/20250620192415143.html</x:v>
      </x:c>
      <x:c r="H81" s="91" t="str">
        <x:v>【公开事实】</x:v>
      </x:c>
    </x:row>
    <x:row r="82" ht="54" customHeight="1">
      <x:c r="A82" s="99" t="n">
        <x:v>2026</x:v>
      </x:c>
      <x:c r="B82" s="64" t="str">
        <x:v>华为云 / 盘古</x:v>
      </x:c>
      <x:c r="C82" s="64" t="str">
        <x:v>2026</x:v>
      </x:c>
      <x:c r="D82" s="64" t="str">
        <x:v>行业模型持续迭代</x:v>
      </x:c>
      <x:c r="E82" s="64" t="str">
        <x:v>围绕金融、制造、气象、政企和国产算力交付</x:v>
      </x:c>
      <x:c r="F82" s="64" t="str">
        <x:v>华为云、昇腾生态</x:v>
      </x:c>
      <x:c r="G82" s="96" t="str">
        <x:v>https://www.huaweicloud.com/product/pangu.html</x:v>
      </x:c>
      <x:c r="H82" s="91" t="str">
        <x:v>【公开事实｜具体版本待官网复核】</x:v>
      </x:c>
    </x:row>
    <x:row r="83" ht="54" customHeight="1">
      <x:c r="A83" s="99" t="n">
        <x:v>2023</x:v>
      </x:c>
      <x:c r="B83" s="64" t="str">
        <x:v>商汤 / 日日新 SenseNova</x:v>
      </x:c>
      <x:c r="C83" s="64" t="str">
        <x:v>2023-04</x:v>
      </x:c>
      <x:c r="D83" s="64" t="str">
        <x:v>日日新 SenseNova</x:v>
      </x:c>
      <x:c r="E83" s="64" t="str">
        <x:v>通用语言、视觉与生成式 AI 平台</x:v>
      </x:c>
      <x:c r="F83" s="64" t="str">
        <x:v>商量、开放平台</x:v>
      </x:c>
      <x:c r="G83" s="96" t="str">
        <x:v>https://www.sensetime.com/cn/news</x:v>
      </x:c>
      <x:c r="H83" s="91" t="str">
        <x:v>【公开事实】</x:v>
      </x:c>
    </x:row>
    <x:row r="84" ht="54" customHeight="1">
      <x:c r="A84" s="99" t="n">
        <x:v>2024</x:v>
      </x:c>
      <x:c r="B84" s="64" t="str">
        <x:v>商汤 / 日日新 SenseNova</x:v>
      </x:c>
      <x:c r="C84" s="64" t="str">
        <x:v>2024</x:v>
      </x:c>
      <x:c r="D84" s="64" t="str">
        <x:v>SenseNova V4 / 5.x</x:v>
      </x:c>
      <x:c r="E84" s="64" t="str">
        <x:v>128K、多模态、推理与生产力工具</x:v>
      </x:c>
      <x:c r="F84" s="64" t="str">
        <x:v>商量、办公小浣熊</x:v>
      </x:c>
      <x:c r="G84" s="96" t="str">
        <x:v>https://www.sensenova.cn/</x:v>
      </x:c>
      <x:c r="H84" s="91" t="str">
        <x:v>【公开事实】</x:v>
      </x:c>
    </x:row>
    <x:row r="85" ht="54" customHeight="1">
      <x:c r="A85" s="99" t="n">
        <x:v>2025</x:v>
      </x:c>
      <x:c r="B85" s="64" t="str">
        <x:v>商汤 / 日日新 SenseNova</x:v>
      </x:c>
      <x:c r="C85" s="64" t="str">
        <x:v>2025</x:v>
      </x:c>
      <x:c r="D85" s="64" t="str">
        <x:v>SenseNova V6 / 6.5</x:v>
      </x:c>
      <x:c r="E85" s="64" t="str">
        <x:v>原生多模态、推理与办公交付</x:v>
      </x:c>
      <x:c r="F85" s="64" t="str">
        <x:v>开放平台、办公小浣熊</x:v>
      </x:c>
      <x:c r="G85" s="96" t="str">
        <x:v>https://www.sensetime.com/cn/news/51169469</x:v>
      </x:c>
      <x:c r="H85" s="91" t="str">
        <x:v>【公开事实】</x:v>
      </x:c>
    </x:row>
    <x:row r="86" ht="54" customHeight="1">
      <x:c r="A86" s="99" t="n">
        <x:v>2026</x:v>
      </x:c>
      <x:c r="B86" s="64" t="str">
        <x:v>商汤 / 日日新 SenseNova</x:v>
      </x:c>
      <x:c r="C86" s="64" t="str">
        <x:v>2026</x:v>
      </x:c>
      <x:c r="D86" s="64" t="str">
        <x:v>U1 Pro / 6.8 Flash Lite</x:v>
      </x:c>
      <x:c r="E86" s="64" t="str">
        <x:v>视觉 Agent、低延迟与多模态任务</x:v>
      </x:c>
      <x:c r="F86" s="64" t="str">
        <x:v>SenseNova API、企业产品</x:v>
      </x:c>
      <x:c r="G86" s="96" t="str">
        <x:v>https://www.sensetime.com/cn/news/sensenova-6.8-flash-lite-preview</x:v>
      </x:c>
      <x:c r="H86" s="91" t="str">
        <x:v>【公开事实】</x:v>
      </x:c>
    </x:row>
    <x:row r="87" ht="54" customHeight="1">
      <x:c r="A87" s="99" t="n">
        <x:v>2023</x:v>
      </x:c>
      <x:c r="B87" s="64" t="str">
        <x:v>阶跃星辰 StepFun</x:v>
      </x:c>
      <x:c r="C87" s="64" t="str">
        <x:v>2023</x:v>
      </x:c>
      <x:c r="D87" s="64" t="str">
        <x:v>公司组建与多模态基础研发</x:v>
      </x:c>
      <x:c r="E87" s="64" t="str">
        <x:v>通用、多模态和 Agent 技术路线</x:v>
      </x:c>
      <x:c r="F87" s="64" t="str">
        <x:v>研发阶段</x:v>
      </x:c>
      <x:c r="G87" s="96" t="str">
        <x:v>https://www.stepfun.com/</x:v>
      </x:c>
      <x:c r="H87" s="91" t="str">
        <x:v>【公开事实】</x:v>
      </x:c>
    </x:row>
    <x:row r="88" ht="54" customHeight="1">
      <x:c r="A88" s="99" t="n">
        <x:v>2024</x:v>
      </x:c>
      <x:c r="B88" s="64" t="str">
        <x:v>阶跃星辰 StepFun</x:v>
      </x:c>
      <x:c r="C88" s="64" t="str">
        <x:v>2024</x:v>
      </x:c>
      <x:c r="D88" s="64" t="str">
        <x:v>Step-1 / 1V / Step-2</x:v>
      </x:c>
      <x:c r="E88" s="64" t="str">
        <x:v>通用语言、视觉与万亿参数探索</x:v>
      </x:c>
      <x:c r="F88" s="64" t="str">
        <x:v>跃问、开放平台</x:v>
      </x:c>
      <x:c r="G88" s="96" t="str">
        <x:v>https://chat.stepfun.com/research/en/step3</x:v>
      </x:c>
      <x:c r="H88" s="91" t="str">
        <x:v>【公开事实】</x:v>
      </x:c>
    </x:row>
    <x:row r="89" ht="54" customHeight="1">
      <x:c r="A89" s="99" t="n">
        <x:v>2025</x:v>
      </x:c>
      <x:c r="B89" s="64" t="str">
        <x:v>阶跃星辰 StepFun</x:v>
      </x:c>
      <x:c r="C89" s="64" t="str">
        <x:v>2025</x:v>
      </x:c>
      <x:c r="D89" s="64" t="str">
        <x:v>Step-3</x:v>
      </x:c>
      <x:c r="E89" s="64" t="str">
        <x:v>多模态推理、工具调用与 Agent</x:v>
      </x:c>
      <x:c r="F89" s="64" t="str">
        <x:v>跃问、StepFun API</x:v>
      </x:c>
      <x:c r="G89" s="96" t="str">
        <x:v>https://chat.stepfun.com/research/en/step3</x:v>
      </x:c>
      <x:c r="H89" s="91" t="str">
        <x:v>【公开事实】</x:v>
      </x:c>
    </x:row>
    <x:row r="90" ht="54" customHeight="1">
      <x:c r="A90" s="99" t="n">
        <x:v>2026</x:v>
      </x:c>
      <x:c r="B90" s="64" t="str">
        <x:v>阶跃星辰 StepFun</x:v>
      </x:c>
      <x:c r="C90" s="64" t="str">
        <x:v>2026</x:v>
      </x:c>
      <x:c r="D90" s="64" t="str">
        <x:v>Step-3.5 / 3.7 Flash</x:v>
      </x:c>
      <x:c r="E90" s="64" t="str">
        <x:v>高吞吐、搜索/MCP、视觉 Agent 与本地部署</x:v>
      </x:c>
      <x:c r="F90" s="64" t="str">
        <x:v>开放平台、Agent Demo</x:v>
      </x:c>
      <x:c r="G90" s="96" t="str">
        <x:v>https://static.stepfun.com/blog/step-3.5-flash/</x:v>
      </x:c>
      <x:c r="H90" s="91" t="str">
        <x:v>【公开事实】</x:v>
      </x:c>
    </x:row>
    <x:row r="91" ht="54" customHeight="1">
      <x:c r="A91" s="99" t="n">
        <x:v>2023</x:v>
      </x:c>
      <x:c r="B91" s="64" t="str">
        <x:v>百川智能</x:v>
      </x:c>
      <x:c r="C91" s="64" t="str">
        <x:v>2023-06 / 09</x:v>
      </x:c>
      <x:c r="D91" s="64" t="str">
        <x:v>Baichuan-7B / 13B；Baichuan2</x:v>
      </x:c>
      <x:c r="E91" s="64" t="str">
        <x:v>中文开源基础与对话模型</x:v>
      </x:c>
      <x:c r="F91" s="64" t="str">
        <x:v>开源、API</x:v>
      </x:c>
      <x:c r="G91" s="96" t="str">
        <x:v>https://github.com/baichuan-inc/baichuan2</x:v>
      </x:c>
      <x:c r="H91" s="91" t="str">
        <x:v>【公开事实】</x:v>
      </x:c>
    </x:row>
    <x:row r="92" ht="54" customHeight="1">
      <x:c r="A92" s="99" t="n">
        <x:v>2024</x:v>
      </x:c>
      <x:c r="B92" s="64" t="str">
        <x:v>百川智能</x:v>
      </x:c>
      <x:c r="C92" s="64" t="str">
        <x:v>2024</x:v>
      </x:c>
      <x:c r="D92" s="64" t="str">
        <x:v>Baichuan3 / Baichuan4</x:v>
      </x:c>
      <x:c r="E92" s="64" t="str">
        <x:v>通用能力、角色与企业任务</x:v>
      </x:c>
      <x:c r="F92" s="64" t="str">
        <x:v>百小应、开放平台</x:v>
      </x:c>
      <x:c r="G92" s="96" t="str">
        <x:v>https://www.baichuan-ai.com/</x:v>
      </x:c>
      <x:c r="H92" s="91" t="str">
        <x:v>【公开事实】</x:v>
      </x:c>
    </x:row>
    <x:row r="93" ht="54" customHeight="1">
      <x:c r="A93" s="99" t="n">
        <x:v>2025</x:v>
      </x:c>
      <x:c r="B93" s="64" t="str">
        <x:v>百川智能</x:v>
      </x:c>
      <x:c r="C93" s="64" t="str">
        <x:v>2025</x:v>
      </x:c>
      <x:c r="D93" s="64" t="str">
        <x:v>医疗 M2 系列</x:v>
      </x:c>
      <x:c r="E93" s="64" t="str">
        <x:v>医学知识、临床决策支持与教育</x:v>
      </x:c>
      <x:c r="F93" s="64" t="str">
        <x:v>医疗大模型方案</x:v>
      </x:c>
      <x:c r="G93" s="96" t="str">
        <x:v>https://www.baichuan-ai.com/</x:v>
      </x:c>
      <x:c r="H93" s="91" t="str">
        <x:v>【公开事实｜日期待复核】</x:v>
      </x:c>
    </x:row>
    <x:row r="94" ht="54" customHeight="1">
      <x:c r="A94" s="99" t="n">
        <x:v>2026</x:v>
      </x:c>
      <x:c r="B94" s="64" t="str">
        <x:v>百川智能</x:v>
      </x:c>
      <x:c r="C94" s="64" t="str">
        <x:v>2026</x:v>
      </x:c>
      <x:c r="D94" s="64" t="str">
        <x:v>医疗 M3 / Baichuan4 Air</x:v>
      </x:c>
      <x:c r="E94" s="64" t="str">
        <x:v>医疗垂直与低价企业通用模型</x:v>
      </x:c>
      <x:c r="F94" s="64" t="str">
        <x:v>开放平台、行业方案</x:v>
      </x:c>
      <x:c r="G94" s="96" t="str">
        <x:v>https://platform.baichuan-ai.com/prices</x:v>
      </x:c>
      <x:c r="H94" s="91" t="str">
        <x:v>【公开事实】</x:v>
      </x:c>
    </x:row>
    <x:row r="95" ht="54" customHeight="1">
      <x:c r="A95" s="99" t="n">
        <x:v>2023</x:v>
      </x:c>
      <x:c r="B95" s="64" t="str">
        <x:v>零一万物 / Yi</x:v>
      </x:c>
      <x:c r="C95" s="64" t="str">
        <x:v>2023-11</x:v>
      </x:c>
      <x:c r="D95" s="64" t="str">
        <x:v>Yi-6B / 34B</x:v>
      </x:c>
      <x:c r="E95" s="64" t="str">
        <x:v>中英双语开放权重基础模型</x:v>
      </x:c>
      <x:c r="F95" s="64" t="str">
        <x:v>开源、自建</x:v>
      </x:c>
      <x:c r="G95" s="96" t="str">
        <x:v>https://github.com/01-ai/Yi</x:v>
      </x:c>
      <x:c r="H95" s="91" t="str">
        <x:v>【公开事实】</x:v>
      </x:c>
    </x:row>
    <x:row r="96" ht="54" customHeight="1">
      <x:c r="A96" s="99" t="n">
        <x:v>2024</x:v>
      </x:c>
      <x:c r="B96" s="64" t="str">
        <x:v>零一万物 / Yi</x:v>
      </x:c>
      <x:c r="C96" s="64" t="str">
        <x:v>2024</x:v>
      </x:c>
      <x:c r="D96" s="64" t="str">
        <x:v>Yi-1.5；Yi-Large；Yi-Coder</x:v>
      </x:c>
      <x:c r="E96" s="64" t="str">
        <x:v>通用 API、代码与 128K 小模型</x:v>
      </x:c>
      <x:c r="F96" s="64" t="str">
        <x:v>开放权重、历史 API/产品</x:v>
      </x:c>
      <x:c r="G96" s="96" t="str">
        <x:v>https://github.com/01-ai/Yi-Coder</x:v>
      </x:c>
      <x:c r="H96" s="91" t="str">
        <x:v>【公开事实】</x:v>
      </x:c>
    </x:row>
    <x:row r="97" ht="54" customHeight="1">
      <x:c r="A97" s="99" t="n">
        <x:v>2025</x:v>
      </x:c>
      <x:c r="B97" s="64" t="str">
        <x:v>零一万物 / Yi</x:v>
      </x:c>
      <x:c r="C97" s="64" t="str">
        <x:v>2025</x:v>
      </x:c>
      <x:c r="D97" s="64" t="str">
        <x:v>公开基础模型更新减少</x:v>
      </x:c>
      <x:c r="E97" s="64" t="str">
        <x:v>更多聚焦应用与既有开放模型生态</x:v>
      </x:c>
      <x:c r="F97" s="64" t="str">
        <x:v>万知/合作产品</x:v>
      </x:c>
      <x:c r="G97" s="96" t="str">
        <x:v>https://github.com/01-ai/Yi</x:v>
      </x:c>
      <x:c r="H97" s="91" t="str">
        <x:v>【公开事实｜待验证】</x:v>
      </x:c>
    </x:row>
    <x:row r="98" ht="54" customHeight="1">
      <x:c r="A98" s="100" t="n">
        <x:v>2026</x:v>
      </x:c>
      <x:c r="B98" s="93" t="str">
        <x:v>零一万物 / Yi</x:v>
      </x:c>
      <x:c r="C98" s="93" t="str">
        <x:v>2026</x:v>
      </x:c>
      <x:c r="D98" s="93" t="str">
        <x:v>未发现可核验的新一代基础模型发布</x:v>
      </x:c>
      <x:c r="E98" s="93" t="str">
        <x:v>现有 Yi/Yi-Coder 继续适合本地与私有化</x:v>
      </x:c>
      <x:c r="F98" s="93" t="str">
        <x:v>开源生态</x:v>
      </x:c>
      <x:c r="G98" s="97" t="str">
        <x:v>https://github.com/01-ai</x:v>
      </x:c>
      <x:c r="H98" s="94" t="str">
        <x:v>【待验证】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6697c6b33864a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6" hidden="0" customWidth="1"/>
    <x:col min="4" max="4" width="15" hidden="0" customWidth="1"/>
    <x:col min="5" max="5" width="8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28" hidden="0" customWidth="1"/>
    <x:col min="12" max="12" width="38" hidden="0" customWidth="1"/>
    <x:col min="13" max="13" width="14" hidden="0" customWidth="1"/>
    <x:col min="14" max="14" width="52" hidden="0" customWidth="1"/>
    <x:col min="15" max="15" width="22" hidden="0" customWidth="1"/>
  </x:cols>
  <x:sheetData>
    <x:row r="1" ht="32" customHeight="1">
      <x:c r="A1" s="4" t="str">
        <x:v>当前代表模型 API 价格（查询日快照；默认标准短上下文）</x:v>
      </x:c>
      <x:c r="B1" s="4" t="str">
        <x:v>当前代表模型 API 价格（查询日快照；默认标准短上下文）</x:v>
      </x:c>
      <x:c r="C1" s="4" t="str">
        <x:v>当前代表模型 API 价格（查询日快照；默认标准短上下文）</x:v>
      </x:c>
      <x:c r="D1" s="4" t="str">
        <x:v>当前代表模型 API 价格（查询日快照；默认标准短上下文）</x:v>
      </x:c>
      <x:c r="E1" s="4" t="str">
        <x:v>当前代表模型 API 价格（查询日快照；默认标准短上下文）</x:v>
      </x:c>
      <x:c r="F1" s="4" t="str">
        <x:v>当前代表模型 API 价格（查询日快照；默认标准短上下文）</x:v>
      </x:c>
      <x:c r="G1" s="4" t="str">
        <x:v>当前代表模型 API 价格（查询日快照；默认标准短上下文）</x:v>
      </x:c>
      <x:c r="H1" s="4" t="str">
        <x:v>当前代表模型 API 价格（查询日快照；默认标准短上下文）</x:v>
      </x:c>
      <x:c r="I1" s="4" t="str">
        <x:v>当前代表模型 API 价格（查询日快照；默认标准短上下文）</x:v>
      </x:c>
      <x:c r="J1" s="4" t="str">
        <x:v>当前代表模型 API 价格（查询日快照；默认标准短上下文）</x:v>
      </x:c>
      <x:c r="K1" s="4" t="str">
        <x:v>当前代表模型 API 价格（查询日快照；默认标准短上下文）</x:v>
      </x:c>
      <x:c r="L1" s="4" t="str">
        <x:v>当前代表模型 API 价格（查询日快照；默认标准短上下文）</x:v>
      </x:c>
      <x:c r="M1" s="4" t="str">
        <x:v>当前代表模型 API 价格（查询日快照；默认标准短上下文）</x:v>
      </x:c>
      <x:c r="N1" s="4" t="str">
        <x:v>当前代表模型 API 价格（查询日快照；默认标准短上下文）</x:v>
      </x:c>
      <x:c r="O1" s="4" t="str">
        <x:v>当前代表模型 API 价格（查询日快照；默认标准短上下文）</x:v>
      </x:c>
    </x:row>
    <x:row r="2" ht="30" customHeight="1">
      <x:c r="A2" s="70" t="str">
        <x:v>区域</x:v>
      </x:c>
      <x:c r="B2" s="70" t="str">
        <x:v>厂商</x:v>
      </x:c>
      <x:c r="C2" s="70" t="str">
        <x:v>模型/服务</x:v>
      </x:c>
      <x:c r="D2" s="70" t="str">
        <x:v>状态</x:v>
      </x:c>
      <x:c r="E2" s="70" t="str">
        <x:v>币种</x:v>
      </x:c>
      <x:c r="F2" s="70" t="str">
        <x:v>计价单位</x:v>
      </x:c>
      <x:c r="G2" s="70" t="str">
        <x:v>输入价</x:v>
      </x:c>
      <x:c r="H2" s="70" t="str">
        <x:v>缓存命中价</x:v>
      </x:c>
      <x:c r="I2" s="70" t="str">
        <x:v>缓存写入价</x:v>
      </x:c>
      <x:c r="J2" s="70" t="str">
        <x:v>输出价</x:v>
      </x:c>
      <x:c r="K2" s="70" t="str">
        <x:v>上下文/阶梯</x:v>
      </x:c>
      <x:c r="L2" s="70" t="str">
        <x:v>其他费用/注意</x:v>
      </x:c>
      <x:c r="M2" s="70" t="str">
        <x:v>查询日</x:v>
      </x:c>
      <x:c r="N2" s="70" t="str">
        <x:v>价格来源</x:v>
      </x:c>
      <x:c r="O2" s="70" t="str">
        <x:v>证据/备注</x:v>
      </x:c>
    </x:row>
    <x:row r="3" ht="54" customHeight="1">
      <x:c r="A3" s="87" t="str">
        <x:v>海外</x:v>
      </x:c>
      <x:c r="B3" s="88" t="str">
        <x:v>OpenAI</x:v>
      </x:c>
      <x:c r="C3" s="88" t="str">
        <x:v>GPT-5.6 Sol</x:v>
      </x:c>
      <x:c r="D3" s="88" t="str">
        <x:v>GA</x:v>
      </x:c>
      <x:c r="E3" s="88" t="str">
        <x:v>USD</x:v>
      </x:c>
      <x:c r="F3" s="88" t="str">
        <x:v>每百万tokens</x:v>
      </x:c>
      <x:c r="G3" s="101" t="n">
        <x:v>4</x:v>
      </x:c>
      <x:c r="H3" s="101" t="n">
        <x:v>0.4</x:v>
      </x:c>
      <x:c r="I3" s="101" t="n">
        <x:v>5</x:v>
      </x:c>
      <x:c r="J3" s="101" t="n">
        <x:v>20</x:v>
      </x:c>
      <x:c r="K3" s="88" t="str">
        <x:v>≤272K；更长请求 2×输入/1.5×输出</x:v>
      </x:c>
      <x:c r="L3" s="88" t="str">
        <x:v>当前为限时促销价；工具调用另计</x:v>
      </x:c>
      <x:c r="M3" s="88" t="str">
        <x:v>2026-08-24</x:v>
      </x:c>
      <x:c r="N3" s="95" t="str">
        <x:v>https://developers.openai.com/api/docs/models/gpt-5.6-sol</x:v>
      </x:c>
      <x:c r="O3" s="89" t="str">
        <x:v>模型页</x:v>
      </x:c>
    </x:row>
    <x:row r="4" ht="54" customHeight="1">
      <x:c r="A4" s="90" t="str">
        <x:v>海外</x:v>
      </x:c>
      <x:c r="B4" s="64" t="str">
        <x:v>OpenAI</x:v>
      </x:c>
      <x:c r="C4" s="64" t="str">
        <x:v>GPT-5.6 Terra</x:v>
      </x:c>
      <x:c r="D4" s="64" t="str">
        <x:v>GA</x:v>
      </x:c>
      <x:c r="E4" s="64" t="str">
        <x:v>USD</x:v>
      </x:c>
      <x:c r="F4" s="64" t="str">
        <x:v>每百万tokens</x:v>
      </x:c>
      <x:c r="G4" s="102" t="n">
        <x:v>2</x:v>
      </x:c>
      <x:c r="H4" s="102" t="n">
        <x:v>0.2</x:v>
      </x:c>
      <x:c r="I4" s="102" t="n">
        <x:v>2.5</x:v>
      </x:c>
      <x:c r="J4" s="102" t="n">
        <x:v>12</x:v>
      </x:c>
      <x:c r="K4" s="64" t="str">
        <x:v>≤272K；更长请求升价</x:v>
      </x:c>
      <x:c r="L4" s="64" t="str">
        <x:v>均衡档</x:v>
      </x:c>
      <x:c r="M4" s="64" t="str">
        <x:v>2026-08-24</x:v>
      </x:c>
      <x:c r="N4" s="96" t="str">
        <x:v>https://developers.openai.com/api/docs/models/gpt-5.6-terra</x:v>
      </x:c>
      <x:c r="O4" s="91" t="str">
        <x:v>模型页</x:v>
      </x:c>
    </x:row>
    <x:row r="5" ht="54" customHeight="1">
      <x:c r="A5" s="90" t="str">
        <x:v>海外</x:v>
      </x:c>
      <x:c r="B5" s="64" t="str">
        <x:v>OpenAI</x:v>
      </x:c>
      <x:c r="C5" s="64" t="str">
        <x:v>GPT-5.6 Luna</x:v>
      </x:c>
      <x:c r="D5" s="64" t="str">
        <x:v>GA</x:v>
      </x:c>
      <x:c r="E5" s="64" t="str">
        <x:v>USD</x:v>
      </x:c>
      <x:c r="F5" s="64" t="str">
        <x:v>每百万tokens</x:v>
      </x:c>
      <x:c r="G5" s="102" t="n">
        <x:v>0.2</x:v>
      </x:c>
      <x:c r="H5" s="102" t="n">
        <x:v>0.02</x:v>
      </x:c>
      <x:c r="I5" s="102" t="n">
        <x:v>0.25</x:v>
      </x:c>
      <x:c r="J5" s="102" t="n">
        <x:v>1.2</x:v>
      </x:c>
      <x:c r="K5" s="64" t="str">
        <x:v>≤272K；更长请求升价</x:v>
      </x:c>
      <x:c r="L5" s="64" t="str">
        <x:v>高并发/成本敏感</x:v>
      </x:c>
      <x:c r="M5" s="64" t="str">
        <x:v>2026-08-24</x:v>
      </x:c>
      <x:c r="N5" s="96" t="str">
        <x:v>https://developers.openai.com/api/docs/models/gpt-5.6-luna</x:v>
      </x:c>
      <x:c r="O5" s="91" t="str">
        <x:v>模型页</x:v>
      </x:c>
    </x:row>
    <x:row r="6" ht="54" customHeight="1">
      <x:c r="A6" s="90" t="str">
        <x:v>海外</x:v>
      </x:c>
      <x:c r="B6" s="64" t="str">
        <x:v>Anthropic</x:v>
      </x:c>
      <x:c r="C6" s="64" t="str">
        <x:v>Claude Sonnet 5</x:v>
      </x:c>
      <x:c r="D6" s="64" t="str">
        <x:v>GA</x:v>
      </x:c>
      <x:c r="E6" s="64" t="str">
        <x:v>USD</x:v>
      </x:c>
      <x:c r="F6" s="64" t="str">
        <x:v>每百万tokens</x:v>
      </x:c>
      <x:c r="G6" s="102" t="n">
        <x:v>2</x:v>
      </x:c>
      <x:c r="H6" s="102" t="n">
        <x:v>0.2</x:v>
      </x:c>
      <x:c r="I6" s="102" t="n">
        <x:v>2.5</x:v>
      </x:c>
      <x:c r="J6" s="102" t="n">
        <x:v>10</x:v>
      </x:c>
      <x:c r="K6" s="64" t="str">
        <x:v>1M 上下文；缓存写入 5m=1.25×、1h=2×</x:v>
      </x:c>
      <x:c r="L6" s="64" t="str">
        <x:v>US-only inference 可加价 10%</x:v>
      </x:c>
      <x:c r="M6" s="64" t="str">
        <x:v>2026-08-24</x:v>
      </x:c>
      <x:c r="N6" s="96" t="str">
        <x:v>https://platform.claude.com/docs/en/release-notes/overview</x:v>
      </x:c>
      <x:c r="O6" s="91" t="str">
        <x:v>发布与定价更新</x:v>
      </x:c>
    </x:row>
    <x:row r="7" ht="54" customHeight="1">
      <x:c r="A7" s="90" t="str">
        <x:v>海外</x:v>
      </x:c>
      <x:c r="B7" s="64" t="str">
        <x:v>Anthropic</x:v>
      </x:c>
      <x:c r="C7" s="64" t="str">
        <x:v>Claude Opus 5</x:v>
      </x:c>
      <x:c r="D7" s="64" t="str">
        <x:v>GA</x:v>
      </x:c>
      <x:c r="E7" s="64" t="str">
        <x:v>USD</x:v>
      </x:c>
      <x:c r="F7" s="64" t="str">
        <x:v>每百万tokens</x:v>
      </x:c>
      <x:c r="G7" s="102" t="n">
        <x:v>5</x:v>
      </x:c>
      <x:c r="H7" s="102" t="n">
        <x:v>0.5</x:v>
      </x:c>
      <x:c r="I7" s="102" t="n">
        <x:v>6.25</x:v>
      </x:c>
      <x:c r="J7" s="102" t="n">
        <x:v>25</x:v>
      </x:c>
      <x:c r="K7" s="64" t="str">
        <x:v>1M 上下文</x:v>
      </x:c>
      <x:c r="L7" s="64" t="str">
        <x:v>复杂任务旗舰</x:v>
      </x:c>
      <x:c r="M7" s="64" t="str">
        <x:v>2026-08-24</x:v>
      </x:c>
      <x:c r="N7" s="96" t="str">
        <x:v>https://platform.claude.com/docs/en/release-notes/overview</x:v>
      </x:c>
      <x:c r="O7" s="91" t="str">
        <x:v>发布说明</x:v>
      </x:c>
    </x:row>
    <x:row r="8" ht="54" customHeight="1">
      <x:c r="A8" s="90" t="str">
        <x:v>海外</x:v>
      </x:c>
      <x:c r="B8" s="64" t="str">
        <x:v>Google DeepMind</x:v>
      </x:c>
      <x:c r="C8" s="64" t="str">
        <x:v>Gemini 3.7 Flash</x:v>
      </x:c>
      <x:c r="D8" s="64" t="str">
        <x:v>GA/促销</x:v>
      </x:c>
      <x:c r="E8" s="64" t="str">
        <x:v>USD</x:v>
      </x:c>
      <x:c r="F8" s="64" t="str">
        <x:v>每百万tokens</x:v>
      </x:c>
      <x:c r="G8" s="102" t="n">
        <x:v>0.75</x:v>
      </x:c>
      <x:c r="H8" s="102" t="n">
        <x:v>0.075</x:v>
      </x:c>
      <x:c r="I8" s="102"/>
      <x:c r="J8" s="102" t="n">
        <x:v>3.75</x:v>
      </x:c>
      <x:c r="K8" s="64" t="str">
        <x:v>促销至 2026-12-31</x:v>
      </x:c>
      <x:c r="L8" s="64" t="str">
        <x:v>Search Grounding 超免费额度后另计</x:v>
      </x:c>
      <x:c r="M8" s="64" t="str">
        <x:v>2026-08-24</x:v>
      </x:c>
      <x:c r="N8" s="96" t="str">
        <x:v>https://ai.google.dev/gemini-api/docs/pricing</x:v>
      </x:c>
      <x:c r="O8" s="91" t="str">
        <x:v>官方价格页</x:v>
      </x:c>
    </x:row>
    <x:row r="9" ht="54" customHeight="1">
      <x:c r="A9" s="90" t="str">
        <x:v>海外</x:v>
      </x:c>
      <x:c r="B9" s="64" t="str">
        <x:v>Google DeepMind</x:v>
      </x:c>
      <x:c r="C9" s="64" t="str">
        <x:v>Gemini 3.5 Flash-Lite</x:v>
      </x:c>
      <x:c r="D9" s="64" t="str">
        <x:v>GA</x:v>
      </x:c>
      <x:c r="E9" s="64" t="str">
        <x:v>USD</x:v>
      </x:c>
      <x:c r="F9" s="64" t="str">
        <x:v>每百万tokens</x:v>
      </x:c>
      <x:c r="G9" s="102" t="n">
        <x:v>0.3</x:v>
      </x:c>
      <x:c r="H9" s="102" t="n">
        <x:v>0.03</x:v>
      </x:c>
      <x:c r="I9" s="102"/>
      <x:c r="J9" s="102" t="n">
        <x:v>2.5</x:v>
      </x:c>
      <x:c r="K9" s="64" t="str">
        <x:v>文本/图像/视频/音频输入</x:v>
      </x:c>
      <x:c r="L9" s="64" t="str">
        <x:v>Batch/Flex 约五折</x:v>
      </x:c>
      <x:c r="M9" s="64" t="str">
        <x:v>2026-08-24</x:v>
      </x:c>
      <x:c r="N9" s="96" t="str">
        <x:v>https://ai.google.dev/gemini-api/docs/pricing</x:v>
      </x:c>
      <x:c r="O9" s="91" t="str">
        <x:v>官方价格页</x:v>
      </x:c>
    </x:row>
    <x:row r="10" ht="54" customHeight="1">
      <x:c r="A10" s="90" t="str">
        <x:v>海外</x:v>
      </x:c>
      <x:c r="B10" s="64" t="str">
        <x:v>Google DeepMind</x:v>
      </x:c>
      <x:c r="C10" s="64" t="str">
        <x:v>Gemini 3.1 Pro</x:v>
      </x:c>
      <x:c r="D10" s="64" t="str">
        <x:v>GA</x:v>
      </x:c>
      <x:c r="E10" s="64" t="str">
        <x:v>USD</x:v>
      </x:c>
      <x:c r="F10" s="64" t="str">
        <x:v>每百万tokens</x:v>
      </x:c>
      <x:c r="G10" s="102" t="n">
        <x:v>1.5</x:v>
      </x:c>
      <x:c r="H10" s="102" t="n">
        <x:v>0.15</x:v>
      </x:c>
      <x:c r="I10" s="102"/>
      <x:c r="J10" s="102" t="n">
        <x:v>9</x:v>
      </x:c>
      <x:c r="K10" s="64" t="str">
        <x:v>短上下文标准档</x:v>
      </x:c>
      <x:c r="L10" s="64" t="str">
        <x:v>输出含 thinking tokens</x:v>
      </x:c>
      <x:c r="M10" s="64" t="str">
        <x:v>2026-08-24</x:v>
      </x:c>
      <x:c r="N10" s="96" t="str">
        <x:v>https://ai.google.dev/gemini-api/docs/pricing</x:v>
      </x:c>
      <x:c r="O10" s="91" t="str">
        <x:v>官方价格页</x:v>
      </x:c>
    </x:row>
    <x:row r="11" ht="54" customHeight="1">
      <x:c r="A11" s="90" t="str">
        <x:v>海外</x:v>
      </x:c>
      <x:c r="B11" s="64" t="str">
        <x:v>xAI / SpaceXAI</x:v>
      </x:c>
      <x:c r="C11" s="64" t="str">
        <x:v>Grok 4.6</x:v>
      </x:c>
      <x:c r="D11" s="64" t="str">
        <x:v>GA</x:v>
      </x:c>
      <x:c r="E11" s="64" t="str">
        <x:v>USD</x:v>
      </x:c>
      <x:c r="F11" s="64" t="str">
        <x:v>每百万tokens</x:v>
      </x:c>
      <x:c r="G11" s="102" t="n">
        <x:v>2</x:v>
      </x:c>
      <x:c r="H11" s="102" t="n">
        <x:v>0.5</x:v>
      </x:c>
      <x:c r="I11" s="102"/>
      <x:c r="J11" s="102" t="n">
        <x:v>6</x:v>
      </x:c>
      <x:c r="K11" s="64" t="str">
        <x:v>&lt;200K；≥200K 为 $4/$1/$12</x:v>
      </x:c>
      <x:c r="L11" s="64" t="str">
        <x:v>Web/X 搜索、代码执行另计</x:v>
      </x:c>
      <x:c r="M11" s="64" t="str">
        <x:v>2026-08-24</x:v>
      </x:c>
      <x:c r="N11" s="96" t="str">
        <x:v>https://docs.x.ai/developers/pricing</x:v>
      </x:c>
      <x:c r="O11" s="91" t="str">
        <x:v>官方价格页</x:v>
      </x:c>
    </x:row>
    <x:row r="12" ht="54" customHeight="1">
      <x:c r="A12" s="90" t="str">
        <x:v>海外</x:v>
      </x:c>
      <x:c r="B12" s="64" t="str">
        <x:v>xAI / SpaceXAI</x:v>
      </x:c>
      <x:c r="C12" s="64" t="str">
        <x:v>Grok 4.3</x:v>
      </x:c>
      <x:c r="D12" s="64" t="str">
        <x:v>GA</x:v>
      </x:c>
      <x:c r="E12" s="64" t="str">
        <x:v>USD</x:v>
      </x:c>
      <x:c r="F12" s="64" t="str">
        <x:v>每百万tokens</x:v>
      </x:c>
      <x:c r="G12" s="102" t="n">
        <x:v>1.25</x:v>
      </x:c>
      <x:c r="H12" s="102" t="n">
        <x:v>0.2</x:v>
      </x:c>
      <x:c r="I12" s="102"/>
      <x:c r="J12" s="102" t="n">
        <x:v>2.5</x:v>
      </x:c>
      <x:c r="K12" s="64" t="str">
        <x:v>&lt;200K；1M context</x:v>
      </x:c>
      <x:c r="L12" s="64" t="str">
        <x:v>长上下文翻倍</x:v>
      </x:c>
      <x:c r="M12" s="64" t="str">
        <x:v>2026-08-24</x:v>
      </x:c>
      <x:c r="N12" s="96" t="str">
        <x:v>https://docs.x.ai/developers/pricing</x:v>
      </x:c>
      <x:c r="O12" s="91" t="str">
        <x:v>官方价格页</x:v>
      </x:c>
    </x:row>
    <x:row r="13" ht="54" customHeight="1">
      <x:c r="A13" s="90" t="str">
        <x:v>海外</x:v>
      </x:c>
      <x:c r="B13" s="64" t="str">
        <x:v>Mistral AI</x:v>
      </x:c>
      <x:c r="C13" s="64" t="str">
        <x:v>Mistral Medium 3.5</x:v>
      </x:c>
      <x:c r="D13" s="64" t="str">
        <x:v>GA</x:v>
      </x:c>
      <x:c r="E13" s="64" t="str">
        <x:v>USD</x:v>
      </x:c>
      <x:c r="F13" s="64" t="str">
        <x:v>每百万tokens</x:v>
      </x:c>
      <x:c r="G13" s="102" t="n">
        <x:v>1.5</x:v>
      </x:c>
      <x:c r="H13" s="102" t="n">
        <x:v>0.15</x:v>
      </x:c>
      <x:c r="I13" s="102"/>
      <x:c r="J13" s="102" t="n">
        <x:v>7.5</x:v>
      </x:c>
      <x:c r="K13" s="64" t="str">
        <x:v>标准档</x:v>
      </x:c>
      <x:c r="L13" s="64" t="str">
        <x:v>多模态 Agent/代码</x:v>
      </x:c>
      <x:c r="M13" s="64" t="str">
        <x:v>2026-08-24</x:v>
      </x:c>
      <x:c r="N13" s="96" t="str">
        <x:v>https://docs.mistral.ai/inference/pricing</x:v>
      </x:c>
      <x:c r="O13" s="91" t="str">
        <x:v>官方价格页</x:v>
      </x:c>
    </x:row>
    <x:row r="14" ht="54" customHeight="1">
      <x:c r="A14" s="90" t="str">
        <x:v>海外</x:v>
      </x:c>
      <x:c r="B14" s="64" t="str">
        <x:v>Mistral AI</x:v>
      </x:c>
      <x:c r="C14" s="64" t="str">
        <x:v>Mistral Small 4</x:v>
      </x:c>
      <x:c r="D14" s="64" t="str">
        <x:v>GA/开放权重</x:v>
      </x:c>
      <x:c r="E14" s="64" t="str">
        <x:v>USD</x:v>
      </x:c>
      <x:c r="F14" s="64" t="str">
        <x:v>每百万tokens</x:v>
      </x:c>
      <x:c r="G14" s="102" t="n">
        <x:v>0.15</x:v>
      </x:c>
      <x:c r="H14" s="102" t="n">
        <x:v>0.015</x:v>
      </x:c>
      <x:c r="I14" s="102"/>
      <x:c r="J14" s="102" t="n">
        <x:v>0.6</x:v>
      </x:c>
      <x:c r="K14" s="64" t="str">
        <x:v>256K</x:v>
      </x:c>
      <x:c r="L14" s="64" t="str">
        <x:v>Apache 2.0；119B/6.5B active</x:v>
      </x:c>
      <x:c r="M14" s="64" t="str">
        <x:v>2026-08-24</x:v>
      </x:c>
      <x:c r="N14" s="96" t="str">
        <x:v>https://docs.mistral.ai/models/mistral-small-4-0-26-03</x:v>
      </x:c>
      <x:c r="O14" s="91" t="str">
        <x:v>官方模型页</x:v>
      </x:c>
    </x:row>
    <x:row r="15" ht="54" customHeight="1">
      <x:c r="A15" s="90" t="str">
        <x:v>海外</x:v>
      </x:c>
      <x:c r="B15" s="64" t="str">
        <x:v>Mistral AI</x:v>
      </x:c>
      <x:c r="C15" s="64" t="str">
        <x:v>Mistral Large 3</x:v>
      </x:c>
      <x:c r="D15" s="64" t="str">
        <x:v>GA/开放权重</x:v>
      </x:c>
      <x:c r="E15" s="64" t="str">
        <x:v>USD</x:v>
      </x:c>
      <x:c r="F15" s="64" t="str">
        <x:v>每百万tokens</x:v>
      </x:c>
      <x:c r="G15" s="102" t="n">
        <x:v>0.5</x:v>
      </x:c>
      <x:c r="H15" s="102" t="n">
        <x:v>0.05</x:v>
      </x:c>
      <x:c r="I15" s="102"/>
      <x:c r="J15" s="102" t="n">
        <x:v>1.5</x:v>
      </x:c>
      <x:c r="K15" s="64" t="str">
        <x:v>标准档</x:v>
      </x:c>
      <x:c r="L15" s="64" t="str">
        <x:v>通用多模态</x:v>
      </x:c>
      <x:c r="M15" s="64" t="str">
        <x:v>2026-08-24</x:v>
      </x:c>
      <x:c r="N15" s="96" t="str">
        <x:v>https://docs.mistral.ai/inference/pricing</x:v>
      </x:c>
      <x:c r="O15" s="91" t="str">
        <x:v>官方价格页</x:v>
      </x:c>
    </x:row>
    <x:row r="16" ht="54" customHeight="1">
      <x:c r="A16" s="90" t="str">
        <x:v>海外</x:v>
      </x:c>
      <x:c r="B16" s="64" t="str">
        <x:v>Mistral AI</x:v>
      </x:c>
      <x:c r="C16" s="64" t="str">
        <x:v>Ministral 3 8B</x:v>
      </x:c>
      <x:c r="D16" s="64" t="str">
        <x:v>GA/开放权重</x:v>
      </x:c>
      <x:c r="E16" s="64" t="str">
        <x:v>USD</x:v>
      </x:c>
      <x:c r="F16" s="64" t="str">
        <x:v>每百万tokens</x:v>
      </x:c>
      <x:c r="G16" s="102" t="n">
        <x:v>0.15</x:v>
      </x:c>
      <x:c r="H16" s="102" t="n">
        <x:v>0.015</x:v>
      </x:c>
      <x:c r="I16" s="102"/>
      <x:c r="J16" s="102" t="n">
        <x:v>0.15</x:v>
      </x:c>
      <x:c r="K16" s="64" t="str">
        <x:v>标准档</x:v>
      </x:c>
      <x:c r="L16" s="64" t="str">
        <x:v>小型视觉/文本</x:v>
      </x:c>
      <x:c r="M16" s="64" t="str">
        <x:v>2026-08-24</x:v>
      </x:c>
      <x:c r="N16" s="96" t="str">
        <x:v>https://docs.mistral.ai/inference/pricing</x:v>
      </x:c>
      <x:c r="O16" s="91" t="str">
        <x:v>官方价格页</x:v>
      </x:c>
    </x:row>
    <x:row r="17" ht="54" customHeight="1">
      <x:c r="A17" s="90" t="str">
        <x:v>海外</x:v>
      </x:c>
      <x:c r="B17" s="64" t="str">
        <x:v>Cohere</x:v>
      </x:c>
      <x:c r="C17" s="64" t="str">
        <x:v>Command A+</x:v>
      </x:c>
      <x:c r="D17" s="64" t="str">
        <x:v>GA</x:v>
      </x:c>
      <x:c r="E17" s="64" t="str">
        <x:v>USD</x:v>
      </x:c>
      <x:c r="F17" s="64" t="str">
        <x:v>每百万tokens</x:v>
      </x:c>
      <x:c r="G17" s="102" t="n">
        <x:v>2.5</x:v>
      </x:c>
      <x:c r="H17" s="102"/>
      <x:c r="I17" s="102"/>
      <x:c r="J17" s="102" t="n">
        <x:v>10</x:v>
      </x:c>
      <x:c r="K17" s="64" t="str">
        <x:v>以实时模型页为准</x:v>
      </x:c>
      <x:c r="L17" s="64" t="str">
        <x:v>私有 Vault 另按实例计费</x:v>
      </x:c>
      <x:c r="M17" s="64" t="str">
        <x:v>2026-08-24</x:v>
      </x:c>
      <x:c r="N17" s="96" t="str">
        <x:v>https://docs.cohere.com/docs/command-a</x:v>
      </x:c>
      <x:c r="O17" s="91" t="str">
        <x:v>官方模型页</x:v>
      </x:c>
    </x:row>
    <x:row r="18" ht="54" customHeight="1">
      <x:c r="A18" s="90" t="str">
        <x:v>海外</x:v>
      </x:c>
      <x:c r="B18" s="64" t="str">
        <x:v>Amazon / AWS</x:v>
      </x:c>
      <x:c r="C18" s="64" t="str">
        <x:v>Nova Lite（旧代际参考）</x:v>
      </x:c>
      <x:c r="D18" s="64" t="str">
        <x:v>区域相关</x:v>
      </x:c>
      <x:c r="E18" s="64" t="str">
        <x:v>USD</x:v>
      </x:c>
      <x:c r="F18" s="64" t="str">
        <x:v>每百万tokens</x:v>
      </x:c>
      <x:c r="G18" s="102" t="n">
        <x:v>0.06</x:v>
      </x:c>
      <x:c r="H18" s="102"/>
      <x:c r="I18" s="102"/>
      <x:c r="J18" s="102" t="n">
        <x:v>0.24</x:v>
      </x:c>
      <x:c r="K18" s="64" t="str">
        <x:v>Bedrock 区域/档位相关</x:v>
      </x:c>
      <x:c r="L18" s="64" t="str">
        <x:v>仅作公开参考；部署前查区域价</x:v>
      </x:c>
      <x:c r="M18" s="64" t="str">
        <x:v>2026-08-24</x:v>
      </x:c>
      <x:c r="N18" s="96" t="str">
        <x:v>https://aws.amazon.com/bedrock/pricing/</x:v>
      </x:c>
      <x:c r="O18" s="91" t="str">
        <x:v>动态价格页</x:v>
      </x:c>
    </x:row>
    <x:row r="19" ht="54" customHeight="1">
      <x:c r="A19" s="90" t="str">
        <x:v>海外</x:v>
      </x:c>
      <x:c r="B19" s="64" t="str">
        <x:v>Amazon / AWS</x:v>
      </x:c>
      <x:c r="C19" s="64" t="str">
        <x:v>Nova Pro（旧代际参考）</x:v>
      </x:c>
      <x:c r="D19" s="64" t="str">
        <x:v>区域相关</x:v>
      </x:c>
      <x:c r="E19" s="64" t="str">
        <x:v>USD</x:v>
      </x:c>
      <x:c r="F19" s="64" t="str">
        <x:v>每百万tokens</x:v>
      </x:c>
      <x:c r="G19" s="102" t="n">
        <x:v>0.8</x:v>
      </x:c>
      <x:c r="H19" s="102"/>
      <x:c r="I19" s="102"/>
      <x:c r="J19" s="102" t="n">
        <x:v>3.2</x:v>
      </x:c>
      <x:c r="K19" s="64" t="str">
        <x:v>Bedrock 区域/档位相关</x:v>
      </x:c>
      <x:c r="L19" s="64" t="str">
        <x:v>仅作公开参考；Nova 2 需查控制台</x:v>
      </x:c>
      <x:c r="M19" s="64" t="str">
        <x:v>2026-08-24</x:v>
      </x:c>
      <x:c r="N19" s="96" t="str">
        <x:v>https://aws.amazon.com/bedrock/pricing/</x:v>
      </x:c>
      <x:c r="O19" s="91" t="str">
        <x:v>动态价格页</x:v>
      </x:c>
    </x:row>
    <x:row r="20" ht="54" customHeight="1">
      <x:c r="A20" s="90" t="str">
        <x:v>国内</x:v>
      </x:c>
      <x:c r="B20" s="64" t="str">
        <x:v>阿里云 / 通义千问 Qwen</x:v>
      </x:c>
      <x:c r="C20" s="64" t="str">
        <x:v>Qwen3.8-Max</x:v>
      </x:c>
      <x:c r="D20" s="64" t="str">
        <x:v>GA</x:v>
      </x:c>
      <x:c r="E20" s="64" t="str">
        <x:v>CNY</x:v>
      </x:c>
      <x:c r="F20" s="64" t="str">
        <x:v>每百万tokens</x:v>
      </x:c>
      <x:c r="G20" s="102" t="n">
        <x:v>12</x:v>
      </x:c>
      <x:c r="H20" s="102"/>
      <x:c r="I20" s="102"/>
      <x:c r="J20" s="102" t="n">
        <x:v>36</x:v>
      </x:c>
      <x:c r="K20" s="64" t="str">
        <x:v>中国内地/≤1M</x:v>
      </x:c>
      <x:c r="L20" s="64" t="str">
        <x:v>区域与活动价不同</x:v>
      </x:c>
      <x:c r="M20" s="64" t="str">
        <x:v>2026-08-24</x:v>
      </x:c>
      <x:c r="N20" s="96" t="str">
        <x:v>https://help.aliyun.com/zh/model-studio/model-pricing</x:v>
      </x:c>
      <x:c r="O20" s="91" t="str">
        <x:v>官方价格页</x:v>
      </x:c>
    </x:row>
    <x:row r="21" ht="54" customHeight="1">
      <x:c r="A21" s="90" t="str">
        <x:v>国内</x:v>
      </x:c>
      <x:c r="B21" s="64" t="str">
        <x:v>阿里云 / 通义千问 Qwen</x:v>
      </x:c>
      <x:c r="C21" s="64" t="str">
        <x:v>Qwen3-Max ≤32K</x:v>
      </x:c>
      <x:c r="D21" s="64" t="str">
        <x:v>GA</x:v>
      </x:c>
      <x:c r="E21" s="64" t="str">
        <x:v>CNY</x:v>
      </x:c>
      <x:c r="F21" s="64" t="str">
        <x:v>每百万tokens</x:v>
      </x:c>
      <x:c r="G21" s="102" t="n">
        <x:v>2.5</x:v>
      </x:c>
      <x:c r="H21" s="102"/>
      <x:c r="I21" s="102"/>
      <x:c r="J21" s="102" t="n">
        <x:v>10</x:v>
      </x:c>
      <x:c r="K21" s="64" t="str">
        <x:v>32K-128K、128K-256K 阶梯涨价</x:v>
      </x:c>
      <x:c r="L21" s="64" t="str">
        <x:v>短上下文档</x:v>
      </x:c>
      <x:c r="M21" s="64" t="str">
        <x:v>2026-08-24</x:v>
      </x:c>
      <x:c r="N21" s="96" t="str">
        <x:v>https://help.aliyun.com/zh/model-studio/model-pricing</x:v>
      </x:c>
      <x:c r="O21" s="91" t="str">
        <x:v>官方价格页</x:v>
      </x:c>
    </x:row>
    <x:row r="22" ht="54" customHeight="1">
      <x:c r="A22" s="90" t="str">
        <x:v>国内</x:v>
      </x:c>
      <x:c r="B22" s="64" t="str">
        <x:v>百度 / 文心 ERNIE</x:v>
      </x:c>
      <x:c r="C22" s="64" t="str">
        <x:v>ERNIE 5.1 ≤32K</x:v>
      </x:c>
      <x:c r="D22" s="64" t="str">
        <x:v>GA</x:v>
      </x:c>
      <x:c r="E22" s="64" t="str">
        <x:v>CNY</x:v>
      </x:c>
      <x:c r="F22" s="64" t="str">
        <x:v>每百万tokens</x:v>
      </x:c>
      <x:c r="G22" s="102" t="n">
        <x:v>4</x:v>
      </x:c>
      <x:c r="H22" s="102"/>
      <x:c r="I22" s="102"/>
      <x:c r="J22" s="102" t="n">
        <x:v>18</x:v>
      </x:c>
      <x:c r="K22" s="64" t="str">
        <x:v>32K-128K 为 ¥6/¥22</x:v>
      </x:c>
      <x:c r="L22" s="64" t="str">
        <x:v>按输入长度阶梯</x:v>
      </x:c>
      <x:c r="M22" s="64" t="str">
        <x:v>2026-08-24</x:v>
      </x:c>
      <x:c r="N22" s="96" t="str">
        <x:v>https://cloud.baidu.com/doc/qianfan/s/wmh4sv6ya</x:v>
      </x:c>
      <x:c r="O22" s="91" t="str">
        <x:v>官方价格页</x:v>
      </x:c>
    </x:row>
    <x:row r="23" ht="54" customHeight="1">
      <x:c r="A23" s="90" t="str">
        <x:v>国内</x:v>
      </x:c>
      <x:c r="B23" s="64" t="str">
        <x:v>百度 / 文心 ERNIE</x:v>
      </x:c>
      <x:c r="C23" s="64" t="str">
        <x:v>ERNIE 4.5 Turbo</x:v>
      </x:c>
      <x:c r="D23" s="64" t="str">
        <x:v>GA</x:v>
      </x:c>
      <x:c r="E23" s="64" t="str">
        <x:v>CNY</x:v>
      </x:c>
      <x:c r="F23" s="64" t="str">
        <x:v>每百万tokens</x:v>
      </x:c>
      <x:c r="G23" s="102" t="n">
        <x:v>0.8</x:v>
      </x:c>
      <x:c r="H23" s="102" t="n">
        <x:v>0.2</x:v>
      </x:c>
      <x:c r="I23" s="102"/>
      <x:c r="J23" s="102" t="n">
        <x:v>3.2</x:v>
      </x:c>
      <x:c r="K23" s="64" t="str">
        <x:v>128K</x:v>
      </x:c>
      <x:c r="L23" s="64" t="str">
        <x:v>批量推理另有折扣</x:v>
      </x:c>
      <x:c r="M23" s="64" t="str">
        <x:v>2026-08-24</x:v>
      </x:c>
      <x:c r="N23" s="96" t="str">
        <x:v>https://cloud.baidu.com/doc/qianfan/s/wmh4sv6ya</x:v>
      </x:c>
      <x:c r="O23" s="91" t="str">
        <x:v>官方价格页</x:v>
      </x:c>
    </x:row>
    <x:row r="24" ht="54" customHeight="1">
      <x:c r="A24" s="90" t="str">
        <x:v>国内</x:v>
      </x:c>
      <x:c r="B24" s="64" t="str">
        <x:v>百度 / 文心 ERNIE</x:v>
      </x:c>
      <x:c r="C24" s="64" t="str">
        <x:v>ERNIE X1.1 Preview</x:v>
      </x:c>
      <x:c r="D24" s="64" t="str">
        <x:v>Preview</x:v>
      </x:c>
      <x:c r="E24" s="64" t="str">
        <x:v>CNY</x:v>
      </x:c>
      <x:c r="F24" s="64" t="str">
        <x:v>每百万tokens</x:v>
      </x:c>
      <x:c r="G24" s="102" t="n">
        <x:v>1</x:v>
      </x:c>
      <x:c r="H24" s="102"/>
      <x:c r="I24" s="102"/>
      <x:c r="J24" s="102" t="n">
        <x:v>4</x:v>
      </x:c>
      <x:c r="K24" s="64" t="str">
        <x:v>64K</x:v>
      </x:c>
      <x:c r="L24" s="64" t="str">
        <x:v>预览模型稳定性/配额需验证</x:v>
      </x:c>
      <x:c r="M24" s="64" t="str">
        <x:v>2026-08-24</x:v>
      </x:c>
      <x:c r="N24" s="96" t="str">
        <x:v>https://cloud.baidu.com/product-s/qianfan_home</x:v>
      </x:c>
      <x:c r="O24" s="91" t="str">
        <x:v>产品页</x:v>
      </x:c>
    </x:row>
    <x:row r="25" ht="54" customHeight="1">
      <x:c r="A25" s="90" t="str">
        <x:v>国内</x:v>
      </x:c>
      <x:c r="B25" s="64" t="str">
        <x:v>字节跳动 / 豆包 Seed</x:v>
      </x:c>
      <x:c r="C25" s="64" t="str">
        <x:v>Seed 2.1 Pro</x:v>
      </x:c>
      <x:c r="D25" s="64" t="str">
        <x:v>GA</x:v>
      </x:c>
      <x:c r="E25" s="64" t="str">
        <x:v>CNY</x:v>
      </x:c>
      <x:c r="F25" s="64" t="str">
        <x:v>每百万tokens</x:v>
      </x:c>
      <x:c r="G25" s="102" t="n">
        <x:v>6</x:v>
      </x:c>
      <x:c r="H25" s="102" t="n">
        <x:v>1.2</x:v>
      </x:c>
      <x:c r="I25" s="102"/>
      <x:c r="J25" s="102" t="n">
        <x:v>30</x:v>
      </x:c>
      <x:c r="K25" s="64" t="str">
        <x:v>标准短上下文档</x:v>
      </x:c>
      <x:c r="L25" s="64" t="str">
        <x:v>缓存、Batch、节省计划另有规则</x:v>
      </x:c>
      <x:c r="M25" s="64" t="str">
        <x:v>2026-08-24</x:v>
      </x:c>
      <x:c r="N25" s="96" t="str">
        <x:v>https://www.volcengine.com/product/doubao</x:v>
      </x:c>
      <x:c r="O25" s="91" t="str">
        <x:v>官方产品/价格入口</x:v>
      </x:c>
    </x:row>
    <x:row r="26" ht="54" customHeight="1">
      <x:c r="A26" s="90" t="str">
        <x:v>国内</x:v>
      </x:c>
      <x:c r="B26" s="64" t="str">
        <x:v>字节跳动 / 豆包 Seed</x:v>
      </x:c>
      <x:c r="C26" s="64" t="str">
        <x:v>Seed 2.1 Turbo</x:v>
      </x:c>
      <x:c r="D26" s="64" t="str">
        <x:v>GA</x:v>
      </x:c>
      <x:c r="E26" s="64" t="str">
        <x:v>CNY</x:v>
      </x:c>
      <x:c r="F26" s="64" t="str">
        <x:v>每百万tokens</x:v>
      </x:c>
      <x:c r="G26" s="102" t="n">
        <x:v>3</x:v>
      </x:c>
      <x:c r="H26" s="102" t="n">
        <x:v>0.6</x:v>
      </x:c>
      <x:c r="I26" s="102"/>
      <x:c r="J26" s="102" t="n">
        <x:v>15</x:v>
      </x:c>
      <x:c r="K26" s="64" t="str">
        <x:v>标准档</x:v>
      </x:c>
      <x:c r="L26" s="64" t="str">
        <x:v>以方舟模型详情实时刊例价为准</x:v>
      </x:c>
      <x:c r="M26" s="64" t="str">
        <x:v>2026-08-24</x:v>
      </x:c>
      <x:c r="N26" s="96" t="str">
        <x:v>https://www.volcengine.com/product/doubao</x:v>
      </x:c>
      <x:c r="O26" s="91" t="str">
        <x:v>官方产品/价格入口</x:v>
      </x:c>
    </x:row>
    <x:row r="27" ht="54" customHeight="1">
      <x:c r="A27" s="90" t="str">
        <x:v>国内</x:v>
      </x:c>
      <x:c r="B27" s="64" t="str">
        <x:v>腾讯 / 混元 Hy</x:v>
      </x:c>
      <x:c r="C27" s="64" t="str">
        <x:v>Hy3</x:v>
      </x:c>
      <x:c r="D27" s="64" t="str">
        <x:v>GA</x:v>
      </x:c>
      <x:c r="E27" s="64" t="str">
        <x:v>CNY</x:v>
      </x:c>
      <x:c r="F27" s="64" t="str">
        <x:v>每百万tokens</x:v>
      </x:c>
      <x:c r="G27" s="102" t="n">
        <x:v>1</x:v>
      </x:c>
      <x:c r="H27" s="102" t="n">
        <x:v>0.25</x:v>
      </x:c>
      <x:c r="I27" s="102"/>
      <x:c r="J27" s="102" t="n">
        <x:v>4</x:v>
      </x:c>
      <x:c r="K27" s="64" t="str">
        <x:v>TokenHub 标准档</x:v>
      </x:c>
      <x:c r="L27" s="64" t="str">
        <x:v>迁移期与套餐价需区分</x:v>
      </x:c>
      <x:c r="M27" s="64" t="str">
        <x:v>2026-08-24</x:v>
      </x:c>
      <x:c r="N27" s="96" t="str">
        <x:v>https://cloud.tencent.com/document/product/1823/130055</x:v>
      </x:c>
      <x:c r="O27" s="91" t="str">
        <x:v>TokenHub 价格页</x:v>
      </x:c>
    </x:row>
    <x:row r="28" ht="54" customHeight="1">
      <x:c r="A28" s="90" t="str">
        <x:v>国内</x:v>
      </x:c>
      <x:c r="B28" s="64" t="str">
        <x:v>智谱 AI / GLM</x:v>
      </x:c>
      <x:c r="C28" s="64" t="str">
        <x:v>GLM-5.2</x:v>
      </x:c>
      <x:c r="D28" s="64" t="str">
        <x:v>GA</x:v>
      </x:c>
      <x:c r="E28" s="64" t="str">
        <x:v>CNY</x:v>
      </x:c>
      <x:c r="F28" s="64" t="str">
        <x:v>每百万tokens</x:v>
      </x:c>
      <x:c r="G28" s="102" t="n">
        <x:v>8</x:v>
      </x:c>
      <x:c r="H28" s="102" t="n">
        <x:v>2</x:v>
      </x:c>
      <x:c r="I28" s="102"/>
      <x:c r="J28" s="102" t="n">
        <x:v>28</x:v>
      </x:c>
      <x:c r="K28" s="64" t="str">
        <x:v>1M</x:v>
      </x:c>
      <x:c r="L28" s="64" t="str">
        <x:v>缓存存储限时免费</x:v>
      </x:c>
      <x:c r="M28" s="64" t="str">
        <x:v>2026-08-24</x:v>
      </x:c>
      <x:c r="N28" s="96" t="str">
        <x:v>https://bigmodel.cn/pricing</x:v>
      </x:c>
      <x:c r="O28" s="91" t="str">
        <x:v>官方价格页</x:v>
      </x:c>
    </x:row>
    <x:row r="29" ht="54" customHeight="1">
      <x:c r="A29" s="90" t="str">
        <x:v>国内</x:v>
      </x:c>
      <x:c r="B29" s="64" t="str">
        <x:v>智谱 AI / GLM</x:v>
      </x:c>
      <x:c r="C29" s="64" t="str">
        <x:v>GLM-4.7-FlashX</x:v>
      </x:c>
      <x:c r="D29" s="64" t="str">
        <x:v>GA</x:v>
      </x:c>
      <x:c r="E29" s="64" t="str">
        <x:v>CNY</x:v>
      </x:c>
      <x:c r="F29" s="64" t="str">
        <x:v>每百万tokens</x:v>
      </x:c>
      <x:c r="G29" s="102" t="n">
        <x:v>0.5</x:v>
      </x:c>
      <x:c r="H29" s="102" t="n">
        <x:v>0.1</x:v>
      </x:c>
      <x:c r="I29" s="102"/>
      <x:c r="J29" s="102" t="n">
        <x:v>3</x:v>
      </x:c>
      <x:c r="K29" s="64" t="str">
        <x:v>200K</x:v>
      </x:c>
      <x:c r="L29" s="64" t="str">
        <x:v>低成本高并发</x:v>
      </x:c>
      <x:c r="M29" s="64" t="str">
        <x:v>2026-08-24</x:v>
      </x:c>
      <x:c r="N29" s="96" t="str">
        <x:v>https://bigmodel.cn/pricing</x:v>
      </x:c>
      <x:c r="O29" s="91" t="str">
        <x:v>官方价格页</x:v>
      </x:c>
    </x:row>
    <x:row r="30" ht="54" customHeight="1">
      <x:c r="A30" s="90" t="str">
        <x:v>国内</x:v>
      </x:c>
      <x:c r="B30" s="64" t="str">
        <x:v>智谱 AI / GLM</x:v>
      </x:c>
      <x:c r="C30" s="64" t="str">
        <x:v>GLM-4.7-Flash</x:v>
      </x:c>
      <x:c r="D30" s="64" t="str">
        <x:v>免费/限额</x:v>
      </x:c>
      <x:c r="E30" s="64" t="str">
        <x:v>CNY</x:v>
      </x:c>
      <x:c r="F30" s="64" t="str">
        <x:v>每百万tokens</x:v>
      </x:c>
      <x:c r="G30" s="102" t="n">
        <x:v>0</x:v>
      </x:c>
      <x:c r="H30" s="102" t="n">
        <x:v>0</x:v>
      </x:c>
      <x:c r="I30" s="102" t="n">
        <x:v>0</x:v>
      </x:c>
      <x:c r="J30" s="102" t="n">
        <x:v>0</x:v>
      </x:c>
      <x:c r="K30" s="64" t="str">
        <x:v>200K</x:v>
      </x:c>
      <x:c r="L30" s="64" t="str">
        <x:v>免费不代表无限配额或 SLA</x:v>
      </x:c>
      <x:c r="M30" s="64" t="str">
        <x:v>2026-08-24</x:v>
      </x:c>
      <x:c r="N30" s="96" t="str">
        <x:v>https://bigmodel.cn/pricing</x:v>
      </x:c>
      <x:c r="O30" s="91" t="str">
        <x:v>官方价格页</x:v>
      </x:c>
    </x:row>
    <x:row r="31" ht="54" customHeight="1">
      <x:c r="A31" s="90" t="str">
        <x:v>国内</x:v>
      </x:c>
      <x:c r="B31" s="64" t="str">
        <x:v>DeepSeek</x:v>
      </x:c>
      <x:c r="C31" s="64" t="str">
        <x:v>DeepSeek V4 Flash</x:v>
      </x:c>
      <x:c r="D31" s="64" t="str">
        <x:v>GA</x:v>
      </x:c>
      <x:c r="E31" s="64" t="str">
        <x:v>CNY</x:v>
      </x:c>
      <x:c r="F31" s="64" t="str">
        <x:v>每百万tokens</x:v>
      </x:c>
      <x:c r="G31" s="102" t="n">
        <x:v>1</x:v>
      </x:c>
      <x:c r="H31" s="102" t="n">
        <x:v>0.02</x:v>
      </x:c>
      <x:c r="I31" s="102"/>
      <x:c r="J31" s="102" t="n">
        <x:v>2</x:v>
      </x:c>
      <x:c r="K31" s="64" t="str">
        <x:v>1M；思考/非思考双模式</x:v>
      </x:c>
      <x:c r="L31" s="64" t="str">
        <x:v>官方美元价折算约等于该人民币价</x:v>
      </x:c>
      <x:c r="M31" s="64" t="str">
        <x:v>2026-08-24</x:v>
      </x:c>
      <x:c r="N31" s="96" t="str">
        <x:v>https://api-docs.deepseek.com/quick_start/pricing</x:v>
      </x:c>
      <x:c r="O31" s="91" t="str">
        <x:v>官方价格页</x:v>
      </x:c>
    </x:row>
    <x:row r="32" ht="54" customHeight="1">
      <x:c r="A32" s="90" t="str">
        <x:v>国内</x:v>
      </x:c>
      <x:c r="B32" s="64" t="str">
        <x:v>DeepSeek</x:v>
      </x:c>
      <x:c r="C32" s="64" t="str">
        <x:v>DeepSeek V4 Pro</x:v>
      </x:c>
      <x:c r="D32" s="64" t="str">
        <x:v>GA</x:v>
      </x:c>
      <x:c r="E32" s="64" t="str">
        <x:v>CNY</x:v>
      </x:c>
      <x:c r="F32" s="64" t="str">
        <x:v>每百万tokens</x:v>
      </x:c>
      <x:c r="G32" s="102" t="n">
        <x:v>3</x:v>
      </x:c>
      <x:c r="H32" s="102" t="n">
        <x:v>0.025</x:v>
      </x:c>
      <x:c r="I32" s="102"/>
      <x:c r="J32" s="102" t="n">
        <x:v>6</x:v>
      </x:c>
      <x:c r="K32" s="64" t="str">
        <x:v>1M</x:v>
      </x:c>
      <x:c r="L32" s="64" t="str">
        <x:v>原厂 USD 价与人民币页面略有四舍五入</x:v>
      </x:c>
      <x:c r="M32" s="64" t="str">
        <x:v>2026-08-24</x:v>
      </x:c>
      <x:c r="N32" s="96" t="str">
        <x:v>https://api-docs.deepseek.com/quick_start/pricing</x:v>
      </x:c>
      <x:c r="O32" s="91" t="str">
        <x:v>官方价格页</x:v>
      </x:c>
    </x:row>
    <x:row r="33" ht="54" customHeight="1">
      <x:c r="A33" s="90" t="str">
        <x:v>国内</x:v>
      </x:c>
      <x:c r="B33" s="64" t="str">
        <x:v>月之暗面 / Kimi</x:v>
      </x:c>
      <x:c r="C33" s="64" t="str">
        <x:v>Kimi K3</x:v>
      </x:c>
      <x:c r="D33" s="64" t="str">
        <x:v>GA</x:v>
      </x:c>
      <x:c r="E33" s="64" t="str">
        <x:v>CNY</x:v>
      </x:c>
      <x:c r="F33" s="64" t="str">
        <x:v>每百万tokens</x:v>
      </x:c>
      <x:c r="G33" s="102" t="n">
        <x:v>20</x:v>
      </x:c>
      <x:c r="H33" s="102" t="n">
        <x:v>2</x:v>
      </x:c>
      <x:c r="I33" s="102"/>
      <x:c r="J33" s="102" t="n">
        <x:v>100</x:v>
      </x:c>
      <x:c r="K33" s="64" t="str">
        <x:v>1M</x:v>
      </x:c>
      <x:c r="L33" s="64" t="str">
        <x:v>海外 API 页可能以 USD 展示不同标价</x:v>
      </x:c>
      <x:c r="M33" s="64" t="str">
        <x:v>2026-08-24</x:v>
      </x:c>
      <x:c r="N33" s="96" t="str">
        <x:v>https://platform.kimi.com/</x:v>
      </x:c>
      <x:c r="O33" s="91" t="str">
        <x:v>官方首页实时价</x:v>
      </x:c>
    </x:row>
    <x:row r="34" ht="54" customHeight="1">
      <x:c r="A34" s="90" t="str">
        <x:v>国内</x:v>
      </x:c>
      <x:c r="B34" s="64" t="str">
        <x:v>月之暗面 / Kimi</x:v>
      </x:c>
      <x:c r="C34" s="64" t="str">
        <x:v>Kimi K2.7 Code</x:v>
      </x:c>
      <x:c r="D34" s="64" t="str">
        <x:v>GA</x:v>
      </x:c>
      <x:c r="E34" s="64" t="str">
        <x:v>CNY</x:v>
      </x:c>
      <x:c r="F34" s="64" t="str">
        <x:v>每百万tokens</x:v>
      </x:c>
      <x:c r="G34" s="102" t="n">
        <x:v>6.5</x:v>
      </x:c>
      <x:c r="H34" s="102" t="n">
        <x:v>1.3</x:v>
      </x:c>
      <x:c r="I34" s="102"/>
      <x:c r="J34" s="102" t="n">
        <x:v>27</x:v>
      </x:c>
      <x:c r="K34" s="64" t="str">
        <x:v>256K</x:v>
      </x:c>
      <x:c r="L34" s="64" t="str">
        <x:v>代码专用</x:v>
      </x:c>
      <x:c r="M34" s="64" t="str">
        <x:v>2026-08-24</x:v>
      </x:c>
      <x:c r="N34" s="96" t="str">
        <x:v>https://platform.kimi.com/</x:v>
      </x:c>
      <x:c r="O34" s="91" t="str">
        <x:v>官方首页实时价</x:v>
      </x:c>
    </x:row>
    <x:row r="35" ht="54" customHeight="1">
      <x:c r="A35" s="90" t="str">
        <x:v>国内</x:v>
      </x:c>
      <x:c r="B35" s="64" t="str">
        <x:v>月之暗面 / Kimi</x:v>
      </x:c>
      <x:c r="C35" s="64" t="str">
        <x:v>Kimi K2.6</x:v>
      </x:c>
      <x:c r="D35" s="64" t="str">
        <x:v>GA</x:v>
      </x:c>
      <x:c r="E35" s="64" t="str">
        <x:v>CNY</x:v>
      </x:c>
      <x:c r="F35" s="64" t="str">
        <x:v>每百万tokens</x:v>
      </x:c>
      <x:c r="G35" s="102" t="n">
        <x:v>6.5</x:v>
      </x:c>
      <x:c r="H35" s="102" t="n">
        <x:v>1.1</x:v>
      </x:c>
      <x:c r="I35" s="102"/>
      <x:c r="J35" s="102" t="n">
        <x:v>27</x:v>
      </x:c>
      <x:c r="K35" s="64" t="str">
        <x:v>256K；视觉/文本输入</x:v>
      </x:c>
      <x:c r="L35" s="64" t="str">
        <x:v>通用多模态</x:v>
      </x:c>
      <x:c r="M35" s="64" t="str">
        <x:v>2026-08-24</x:v>
      </x:c>
      <x:c r="N35" s="96" t="str">
        <x:v>https://platform.kimi.com/</x:v>
      </x:c>
      <x:c r="O35" s="91" t="str">
        <x:v>官方首页实时价</x:v>
      </x:c>
    </x:row>
    <x:row r="36" ht="54" customHeight="1">
      <x:c r="A36" s="90" t="str">
        <x:v>国内</x:v>
      </x:c>
      <x:c r="B36" s="64" t="str">
        <x:v>MiniMax</x:v>
      </x:c>
      <x:c r="C36" s="64" t="str">
        <x:v>MiniMax M2.7</x:v>
      </x:c>
      <x:c r="D36" s="64" t="str">
        <x:v>GA</x:v>
      </x:c>
      <x:c r="E36" s="64" t="str">
        <x:v>CNY</x:v>
      </x:c>
      <x:c r="F36" s="64" t="str">
        <x:v>每百万tokens</x:v>
      </x:c>
      <x:c r="G36" s="102" t="n">
        <x:v>2.1</x:v>
      </x:c>
      <x:c r="H36" s="102" t="n">
        <x:v>0.42</x:v>
      </x:c>
      <x:c r="I36" s="102" t="n">
        <x:v>2.625</x:v>
      </x:c>
      <x:c r="J36" s="102" t="n">
        <x:v>8.4</x:v>
      </x:c>
      <x:c r="K36" s="64" t="str">
        <x:v>标准速度</x:v>
      </x:c>
      <x:c r="L36" s="64" t="str">
        <x:v>高速版价格约 2×</x:v>
      </x:c>
      <x:c r="M36" s="64" t="str">
        <x:v>2026-08-24</x:v>
      </x:c>
      <x:c r="N36" s="96" t="str">
        <x:v>https://platform.minimaxi.com/docs/guides/pricing-paygo</x:v>
      </x:c>
      <x:c r="O36" s="91" t="str">
        <x:v>官方价格页</x:v>
      </x:c>
    </x:row>
    <x:row r="37" ht="54" customHeight="1">
      <x:c r="A37" s="90" t="str">
        <x:v>国内</x:v>
      </x:c>
      <x:c r="B37" s="64" t="str">
        <x:v>MiniMax</x:v>
      </x:c>
      <x:c r="C37" s="64" t="str">
        <x:v>MiniMax M2.5</x:v>
      </x:c>
      <x:c r="D37" s="64" t="str">
        <x:v>历史/可用</x:v>
      </x:c>
      <x:c r="E37" s="64" t="str">
        <x:v>CNY</x:v>
      </x:c>
      <x:c r="F37" s="64" t="str">
        <x:v>每百万tokens</x:v>
      </x:c>
      <x:c r="G37" s="102" t="n">
        <x:v>2.1</x:v>
      </x:c>
      <x:c r="H37" s="102" t="n">
        <x:v>0.21</x:v>
      </x:c>
      <x:c r="I37" s="102" t="n">
        <x:v>2.625</x:v>
      </x:c>
      <x:c r="J37" s="102" t="n">
        <x:v>8.4</x:v>
      </x:c>
      <x:c r="K37" s="64" t="str">
        <x:v>标准速度</x:v>
      </x:c>
      <x:c r="L37" s="64" t="str">
        <x:v>缓存读取更低</x:v>
      </x:c>
      <x:c r="M37" s="64" t="str">
        <x:v>2026-08-24</x:v>
      </x:c>
      <x:c r="N37" s="96" t="str">
        <x:v>https://platform.minimaxi.com/docs/guides/pricing-paygo</x:v>
      </x:c>
      <x:c r="O37" s="91" t="str">
        <x:v>官方价格页</x:v>
      </x:c>
    </x:row>
    <x:row r="38" ht="54" customHeight="1">
      <x:c r="A38" s="90" t="str">
        <x:v>国内</x:v>
      </x:c>
      <x:c r="B38" s="64" t="str">
        <x:v>科大讯飞 / 星火</x:v>
      </x:c>
      <x:c r="C38" s="64" t="str">
        <x:v>星火 X2 Flash</x:v>
      </x:c>
      <x:c r="D38" s="64" t="str">
        <x:v>GA</x:v>
      </x:c>
      <x:c r="E38" s="64" t="str">
        <x:v>CNY</x:v>
      </x:c>
      <x:c r="F38" s="64" t="str">
        <x:v>每百万tokens</x:v>
      </x:c>
      <x:c r="G38" s="102" t="n">
        <x:v>1</x:v>
      </x:c>
      <x:c r="H38" s="102"/>
      <x:c r="I38" s="102"/>
      <x:c r="J38" s="102" t="n">
        <x:v>2</x:v>
      </x:c>
      <x:c r="K38" s="64" t="str">
        <x:v>平台标准档</x:v>
      </x:c>
      <x:c r="L38" s="64" t="str">
        <x:v>语音 API 另按分钟/字符</x:v>
      </x:c>
      <x:c r="M38" s="64" t="str">
        <x:v>2026-08-24</x:v>
      </x:c>
      <x:c r="N38" s="96" t="str">
        <x:v>https://xinghuo.xfyun.cn/sparkapi</x:v>
      </x:c>
      <x:c r="O38" s="91" t="str">
        <x:v>官方价格入口</x:v>
      </x:c>
    </x:row>
    <x:row r="39" ht="54" customHeight="1">
      <x:c r="A39" s="90" t="str">
        <x:v>国内</x:v>
      </x:c>
      <x:c r="B39" s="64" t="str">
        <x:v>科大讯飞 / 星火</x:v>
      </x:c>
      <x:c r="C39" s="64" t="str">
        <x:v>星火 X2</x:v>
      </x:c>
      <x:c r="D39" s="64" t="str">
        <x:v>GA</x:v>
      </x:c>
      <x:c r="E39" s="64" t="str">
        <x:v>CNY</x:v>
      </x:c>
      <x:c r="F39" s="64" t="str">
        <x:v>每百万tokens</x:v>
      </x:c>
      <x:c r="G39" s="102" t="n">
        <x:v>3</x:v>
      </x:c>
      <x:c r="H39" s="102"/>
      <x:c r="I39" s="102"/>
      <x:c r="J39" s="102" t="n">
        <x:v>3</x:v>
      </x:c>
      <x:c r="K39" s="64" t="str">
        <x:v>深度推理档</x:v>
      </x:c>
      <x:c r="L39" s="64" t="str">
        <x:v>行业私有化另报价</x:v>
      </x:c>
      <x:c r="M39" s="64" t="str">
        <x:v>2026-08-24</x:v>
      </x:c>
      <x:c r="N39" s="96" t="str">
        <x:v>https://xinghuo.xfyun.cn/sparkapi</x:v>
      </x:c>
      <x:c r="O39" s="91" t="str">
        <x:v>官方价格入口</x:v>
      </x:c>
    </x:row>
    <x:row r="40" ht="54" customHeight="1">
      <x:c r="A40" s="90" t="str">
        <x:v>国内</x:v>
      </x:c>
      <x:c r="B40" s="64" t="str">
        <x:v>商汤 / 日日新 SenseNova</x:v>
      </x:c>
      <x:c r="C40" s="64" t="str">
        <x:v>SenseNova V6 Pro</x:v>
      </x:c>
      <x:c r="D40" s="64" t="str">
        <x:v>GA</x:v>
      </x:c>
      <x:c r="E40" s="64" t="str">
        <x:v>CNY</x:v>
      </x:c>
      <x:c r="F40" s="64" t="str">
        <x:v>每百万tokens</x:v>
      </x:c>
      <x:c r="G40" s="102" t="n">
        <x:v>3</x:v>
      </x:c>
      <x:c r="H40" s="102"/>
      <x:c r="I40" s="102"/>
      <x:c r="J40" s="102" t="n">
        <x:v>9</x:v>
      </x:c>
      <x:c r="K40" s="64" t="str">
        <x:v>标准档</x:v>
      </x:c>
      <x:c r="L40" s="64" t="str">
        <x:v>不同区域/模型版本需复核</x:v>
      </x:c>
      <x:c r="M40" s="64" t="str">
        <x:v>2026-08-24</x:v>
      </x:c>
      <x:c r="N40" s="96" t="str">
        <x:v>https://platform.sensenova.cn/product/APIService/pricing</x:v>
      </x:c>
      <x:c r="O40" s="91" t="str">
        <x:v>官方价格页</x:v>
      </x:c>
    </x:row>
    <x:row r="41" ht="54" customHeight="1">
      <x:c r="A41" s="90" t="str">
        <x:v>国内</x:v>
      </x:c>
      <x:c r="B41" s="64" t="str">
        <x:v>商汤 / 日日新 SenseNova</x:v>
      </x:c>
      <x:c r="C41" s="64" t="str">
        <x:v>SenseNova V6 Turbo</x:v>
      </x:c>
      <x:c r="D41" s="64" t="str">
        <x:v>GA</x:v>
      </x:c>
      <x:c r="E41" s="64" t="str">
        <x:v>CNY</x:v>
      </x:c>
      <x:c r="F41" s="64" t="str">
        <x:v>每百万tokens</x:v>
      </x:c>
      <x:c r="G41" s="102" t="n">
        <x:v>1.5</x:v>
      </x:c>
      <x:c r="H41" s="102"/>
      <x:c r="I41" s="102"/>
      <x:c r="J41" s="102" t="n">
        <x:v>4.5</x:v>
      </x:c>
      <x:c r="K41" s="64" t="str">
        <x:v>低延迟档</x:v>
      </x:c>
      <x:c r="L41" s="64" t="str">
        <x:v>适合规模化通用任务</x:v>
      </x:c>
      <x:c r="M41" s="64" t="str">
        <x:v>2026-08-24</x:v>
      </x:c>
      <x:c r="N41" s="96" t="str">
        <x:v>https://platform.sensenova.cn/product/APIService/pricing</x:v>
      </x:c>
      <x:c r="O41" s="91" t="str">
        <x:v>官方价格页</x:v>
      </x:c>
    </x:row>
    <x:row r="42" ht="54" customHeight="1">
      <x:c r="A42" s="90" t="str">
        <x:v>国内</x:v>
      </x:c>
      <x:c r="B42" s="64" t="str">
        <x:v>商汤 / 日日新 SenseNova</x:v>
      </x:c>
      <x:c r="C42" s="64" t="str">
        <x:v>SenseNova V6 Reasoner</x:v>
      </x:c>
      <x:c r="D42" s="64" t="str">
        <x:v>GA</x:v>
      </x:c>
      <x:c r="E42" s="64" t="str">
        <x:v>CNY</x:v>
      </x:c>
      <x:c r="F42" s="64" t="str">
        <x:v>每百万tokens</x:v>
      </x:c>
      <x:c r="G42" s="102" t="n">
        <x:v>8</x:v>
      </x:c>
      <x:c r="H42" s="102"/>
      <x:c r="I42" s="102"/>
      <x:c r="J42" s="102" t="n">
        <x:v>32</x:v>
      </x:c>
      <x:c r="K42" s="64" t="str">
        <x:v>推理档</x:v>
      </x:c>
      <x:c r="L42" s="64" t="str">
        <x:v>思考 tokens 影响总成本</x:v>
      </x:c>
      <x:c r="M42" s="64" t="str">
        <x:v>2026-08-24</x:v>
      </x:c>
      <x:c r="N42" s="96" t="str">
        <x:v>https://platform.sensenova.cn/product/APIService/pricing</x:v>
      </x:c>
      <x:c r="O42" s="91" t="str">
        <x:v>官方价格页</x:v>
      </x:c>
    </x:row>
    <x:row r="43" ht="54" customHeight="1">
      <x:c r="A43" s="90" t="str">
        <x:v>国内</x:v>
      </x:c>
      <x:c r="B43" s="64" t="str">
        <x:v>阶跃星辰 StepFun</x:v>
      </x:c>
      <x:c r="C43" s="64" t="str">
        <x:v>Step-3.5 Flash</x:v>
      </x:c>
      <x:c r="D43" s="64" t="str">
        <x:v>GA</x:v>
      </x:c>
      <x:c r="E43" s="64" t="str">
        <x:v>CNY</x:v>
      </x:c>
      <x:c r="F43" s="64" t="str">
        <x:v>每百万tokens</x:v>
      </x:c>
      <x:c r="G43" s="102" t="n">
        <x:v>0.7</x:v>
      </x:c>
      <x:c r="H43" s="102" t="n">
        <x:v>0.14</x:v>
      </x:c>
      <x:c r="I43" s="102"/>
      <x:c r="J43" s="102" t="n">
        <x:v>2.1</x:v>
      </x:c>
      <x:c r="K43" s="64" t="str">
        <x:v>标准档</x:v>
      </x:c>
      <x:c r="L43" s="64" t="str">
        <x:v>搜索/工具成本另计</x:v>
      </x:c>
      <x:c r="M43" s="64" t="str">
        <x:v>2026-08-24</x:v>
      </x:c>
      <x:c r="N43" s="96" t="str">
        <x:v>https://platform.stepfun.com/docs/zh/guides/pricing/details</x:v>
      </x:c>
      <x:c r="O43" s="91" t="str">
        <x:v>官方价格页</x:v>
      </x:c>
    </x:row>
    <x:row r="44" ht="54" customHeight="1">
      <x:c r="A44" s="90" t="str">
        <x:v>国内</x:v>
      </x:c>
      <x:c r="B44" s="64" t="str">
        <x:v>阶跃星辰 StepFun</x:v>
      </x:c>
      <x:c r="C44" s="64" t="str">
        <x:v>Step-2 mini</x:v>
      </x:c>
      <x:c r="D44" s="64" t="str">
        <x:v>GA</x:v>
      </x:c>
      <x:c r="E44" s="64" t="str">
        <x:v>CNY</x:v>
      </x:c>
      <x:c r="F44" s="64" t="str">
        <x:v>每百万tokens</x:v>
      </x:c>
      <x:c r="G44" s="102" t="n">
        <x:v>1</x:v>
      </x:c>
      <x:c r="H44" s="102" t="n">
        <x:v>0.2</x:v>
      </x:c>
      <x:c r="I44" s="102"/>
      <x:c r="J44" s="102" t="n">
        <x:v>2</x:v>
      </x:c>
      <x:c r="K44" s="64" t="str">
        <x:v>标准档</x:v>
      </x:c>
      <x:c r="L44" s="64" t="str">
        <x:v>轻量通用</x:v>
      </x:c>
      <x:c r="M44" s="64" t="str">
        <x:v>2026-08-24</x:v>
      </x:c>
      <x:c r="N44" s="96" t="str">
        <x:v>https://platform.stepfun.com/docs/zh/guides/pricing/details</x:v>
      </x:c>
      <x:c r="O44" s="91" t="str">
        <x:v>官方价格页</x:v>
      </x:c>
    </x:row>
    <x:row r="45" ht="54" customHeight="1">
      <x:c r="A45" s="90" t="str">
        <x:v>国内</x:v>
      </x:c>
      <x:c r="B45" s="64" t="str">
        <x:v>百川智能</x:v>
      </x:c>
      <x:c r="C45" s="64" t="str">
        <x:v>Baichuan4 Air</x:v>
      </x:c>
      <x:c r="D45" s="64" t="str">
        <x:v>GA</x:v>
      </x:c>
      <x:c r="E45" s="64" t="str">
        <x:v>CNY</x:v>
      </x:c>
      <x:c r="F45" s="64" t="str">
        <x:v>每百万tokens</x:v>
      </x:c>
      <x:c r="G45" s="102" t="n">
        <x:v>0.98</x:v>
      </x:c>
      <x:c r="H45" s="102"/>
      <x:c r="I45" s="102"/>
      <x:c r="J45" s="102" t="n">
        <x:v>0.98</x:v>
      </x:c>
      <x:c r="K45" s="64" t="str">
        <x:v>输入输出合并同价</x:v>
      </x:c>
      <x:c r="L45" s="64" t="str">
        <x:v>公式按输入/输出同价处理</x:v>
      </x:c>
      <x:c r="M45" s="64" t="str">
        <x:v>2026-08-24</x:v>
      </x:c>
      <x:c r="N45" s="96" t="str">
        <x:v>https://platform.baichuan-ai.com/prices</x:v>
      </x:c>
      <x:c r="O45" s="91" t="str">
        <x:v>官方价格页</x:v>
      </x:c>
    </x:row>
    <x:row r="46" ht="54" customHeight="1">
      <x:c r="A46" s="92" t="str">
        <x:v>国内</x:v>
      </x:c>
      <x:c r="B46" s="93" t="str">
        <x:v>百川智能</x:v>
      </x:c>
      <x:c r="C46" s="93" t="str">
        <x:v>医疗 M3 Plus</x:v>
      </x:c>
      <x:c r="D46" s="93" t="str">
        <x:v>GA</x:v>
      </x:c>
      <x:c r="E46" s="93" t="str">
        <x:v>CNY</x:v>
      </x:c>
      <x:c r="F46" s="93" t="str">
        <x:v>每百万tokens</x:v>
      </x:c>
      <x:c r="G46" s="103" t="n">
        <x:v>5</x:v>
      </x:c>
      <x:c r="H46" s="103"/>
      <x:c r="I46" s="103"/>
      <x:c r="J46" s="103" t="n">
        <x:v>9</x:v>
      </x:c>
      <x:c r="K46" s="93" t="str">
        <x:v>医疗垂直</x:v>
      </x:c>
      <x:c r="L46" s="93" t="str">
        <x:v>医疗搜索另 ¥0.03/次</x:v>
      </x:c>
      <x:c r="M46" s="93" t="str">
        <x:v>2026-08-24</x:v>
      </x:c>
      <x:c r="N46" s="97" t="str">
        <x:v>https://platform.baichuan-ai.com/prices</x:v>
      </x:c>
      <x:c r="O46" s="94" t="str">
        <x:v>官方价格页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320eca746c947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8" hidden="0" customWidth="1"/>
    <x:col min="5" max="5" width="13" hidden="0" customWidth="1"/>
    <x:col min="6" max="6" width="14" hidden="0" customWidth="1"/>
    <x:col min="7" max="7" width="13" hidden="0" customWidth="1"/>
    <x:col min="8" max="8" width="14" hidden="0" customWidth="1"/>
    <x:col min="9" max="9" width="18" hidden="0" customWidth="1"/>
    <x:col min="10" max="10" width="18" hidden="0" customWidth="1"/>
    <x:col min="11" max="11" width="19" hidden="0" customWidth="1"/>
    <x:col min="12" max="12" width="22" hidden="0" customWidth="1"/>
    <x:col min="13" max="13" width="36" hidden="0" customWidth="1"/>
    <x:col min="14" max="14" width="48" hidden="0" customWidth="1"/>
    <x:col min="15" max="15" width="16" hidden="0" customWidth="1"/>
  </x:cols>
  <x:sheetData>
    <x:row r="1" ht="32" customHeight="1">
      <x:c r="A1" s="4" t="str">
        <x:v>模型调用成本计算器（统一短上下文口径）</x:v>
      </x:c>
      <x:c r="B1" s="4" t="str">
        <x:v>模型调用成本计算器（统一短上下文口径）</x:v>
      </x:c>
      <x:c r="C1" s="4" t="str">
        <x:v>模型调用成本计算器（统一短上下文口径）</x:v>
      </x:c>
      <x:c r="D1" s="4" t="str">
        <x:v>模型调用成本计算器（统一短上下文口径）</x:v>
      </x:c>
      <x:c r="E1" s="4" t="str">
        <x:v>模型调用成本计算器（统一短上下文口径）</x:v>
      </x:c>
      <x:c r="F1" s="4" t="str">
        <x:v>模型调用成本计算器（统一短上下文口径）</x:v>
      </x:c>
      <x:c r="G1" s="4" t="str">
        <x:v>模型调用成本计算器（统一短上下文口径）</x:v>
      </x:c>
      <x:c r="H1" s="4" t="str">
        <x:v>模型调用成本计算器（统一短上下文口径）</x:v>
      </x:c>
      <x:c r="I1" s="4" t="str">
        <x:v>模型调用成本计算器（统一短上下文口径）</x:v>
      </x:c>
      <x:c r="J1" s="4" t="str">
        <x:v>模型调用成本计算器（统一短上下文口径）</x:v>
      </x:c>
      <x:c r="K1" s="4" t="str">
        <x:v>模型调用成本计算器（统一短上下文口径）</x:v>
      </x:c>
      <x:c r="L1" s="4" t="str">
        <x:v>模型调用成本计算器（统一短上下文口径）</x:v>
      </x:c>
      <x:c r="M1" s="4" t="str">
        <x:v>模型调用成本计算器（统一短上下文口径）</x:v>
      </x:c>
      <x:c r="N1" s="4" t="str">
        <x:v>模型调用成本计算器（统一短上下文口径）</x:v>
      </x:c>
      <x:c r="O1" s="4" t="str">
        <x:v>模型调用成本计算器（统一短上下文口径）</x:v>
      </x:c>
    </x:row>
    <x:row r="2">
      <x:c r="A2" s="106" t="str">
        <x:v>平均输入 tokens/请求</x:v>
      </x:c>
      <x:c r="B2" s="110" t="n">
        <x:v>2000</x:v>
      </x:c>
      <x:c r="D2" s="116" t="str">
        <x:v>蓝色单元格是可编辑假设；价格来自“当前定价”。默认只计算文本 tokens，不含搜索、工具、图像/视频、缓存存储、专属吞吐、失败重试和人工复核。</x:v>
      </x:c>
      <x:c r="E2" s="116"/>
      <x:c r="F2" s="116"/>
      <x:c r="G2" s="116"/>
      <x:c r="H2" s="116"/>
      <x:c r="I2" s="116"/>
      <x:c r="J2" s="116"/>
      <x:c r="K2" s="116"/>
      <x:c r="L2" s="116"/>
      <x:c r="M2" s="116"/>
      <x:c r="N2" s="116"/>
      <x:c r="O2" s="116"/>
    </x:row>
    <x:row r="3">
      <x:c r="A3" s="106" t="str">
        <x:v>平均输出 tokens/请求</x:v>
      </x:c>
      <x:c r="B3" s="110" t="n">
        <x:v>500</x:v>
      </x:c>
      <x:c r="D3" s="116" t="str">
        <x:v>缓存命中率只作用于输入；没有缓存价的模型按原输入价处理。</x:v>
      </x:c>
      <x:c r="E3" s="116"/>
      <x:c r="F3" s="116"/>
      <x:c r="G3" s="116"/>
      <x:c r="H3" s="116"/>
      <x:c r="I3" s="116"/>
      <x:c r="J3" s="116"/>
      <x:c r="K3" s="116"/>
      <x:c r="L3" s="116"/>
      <x:c r="M3" s="116"/>
      <x:c r="N3" s="131"/>
      <x:c r="O3" s="116"/>
    </x:row>
    <x:row r="4">
      <x:c r="A4" s="106" t="str">
        <x:v>月请求数</x:v>
      </x:c>
      <x:c r="B4" s="110" t="n">
        <x:v>100000</x:v>
      </x:c>
      <x:c r="D4" s="116" t="str">
        <x:v>每个模型的“业务通过率”需用自有评测集填写；默认 85% 只是演示值，不能据此下结论。</x:v>
      </x:c>
      <x:c r="E4" s="116"/>
      <x:c r="F4" s="116"/>
      <x:c r="G4" s="116"/>
      <x:c r="H4" s="116"/>
      <x:c r="I4" s="116"/>
      <x:c r="J4" s="116"/>
      <x:c r="K4" s="116"/>
      <x:c r="L4" s="116"/>
      <x:c r="M4" s="116"/>
      <x:c r="N4" s="131"/>
      <x:c r="O4" s="116"/>
    </x:row>
    <x:row r="5">
      <x:c r="A5" s="106" t="str">
        <x:v>输入缓存命中率</x:v>
      </x:c>
      <x:c r="B5" s="111" t="n">
        <x:v>0.3</x:v>
      </x:c>
      <x:c r="D5" s="116" t="str">
        <x:v>长上下文触发阶梯价的模型，需在“当前定价”复制相应阶梯为新行后再比较。</x:v>
      </x:c>
      <x:c r="E5" s="116"/>
      <x:c r="F5" s="116"/>
      <x:c r="G5" s="116"/>
      <x:c r="H5" s="116"/>
      <x:c r="I5" s="116"/>
      <x:c r="J5" s="116"/>
      <x:c r="K5" s="116"/>
      <x:c r="L5" s="116"/>
      <x:c r="M5" s="116"/>
      <x:c r="N5" s="131"/>
      <x:c r="O5" s="116"/>
    </x:row>
    <x:row r="6">
      <x:c r="A6" s="106" t="str">
        <x:v>USD→CNY 汇率假设</x:v>
      </x:c>
      <x:c r="B6" s="112" t="n">
        <x:v>7.2</x:v>
      </x:c>
      <x:c r="D6" s="116" t="str">
        <x:v>推荐决策指标：单位有效结果成本 = 月模型成本 ÷（月请求数 × 业务通过率）。</x:v>
      </x:c>
      <x:c r="E6" s="116"/>
      <x:c r="F6" s="116"/>
      <x:c r="G6" s="116"/>
      <x:c r="H6" s="116"/>
      <x:c r="I6" s="116"/>
      <x:c r="J6" s="116"/>
      <x:c r="K6" s="116"/>
      <x:c r="L6" s="116"/>
      <x:c r="M6" s="116"/>
      <x:c r="N6" s="131"/>
      <x:c r="O6" s="116"/>
    </x:row>
    <x:row r="7">
      <x:c r="A7" s="106" t="str">
        <x:v>Batch/Flex 折扣假设</x:v>
      </x:c>
      <x:c r="B7" s="111" t="n">
        <x:v>0</x:v>
      </x:c>
      <x:c r="D7" s="116" t="str">
        <x:v>汇率仅为可编辑分析假设，不代表结算汇率。</x:v>
      </x:c>
      <x:c r="E7" s="116"/>
      <x:c r="F7" s="116"/>
      <x:c r="G7" s="116"/>
      <x:c r="H7" s="116"/>
      <x:c r="I7" s="116"/>
      <x:c r="J7" s="116"/>
      <x:c r="K7" s="116"/>
      <x:c r="L7" s="116"/>
      <x:c r="M7" s="116"/>
      <x:c r="N7" s="131"/>
      <x:c r="O7" s="116"/>
    </x:row>
    <x:row r="8">
      <x:c r="N8" s="132"/>
    </x:row>
    <x:row r="9">
      <x:c r="A9" s="118" t="str">
        <x:v>区域</x:v>
      </x:c>
      <x:c r="B9" s="118" t="str">
        <x:v>厂商</x:v>
      </x:c>
      <x:c r="C9" s="118" t="str">
        <x:v>模型</x:v>
      </x:c>
      <x:c r="D9" s="118" t="str">
        <x:v>币种</x:v>
      </x:c>
      <x:c r="E9" s="118" t="str">
        <x:v>输入价/MTok</x:v>
      </x:c>
      <x:c r="F9" s="118" t="str">
        <x:v>缓存价/MTok</x:v>
      </x:c>
      <x:c r="G9" s="118" t="str">
        <x:v>输出价/MTok</x:v>
      </x:c>
      <x:c r="H9" s="118" t="str">
        <x:v>业务通过率</x:v>
      </x:c>
      <x:c r="I9" s="118" t="str">
        <x:v>月模型成本(原币)</x:v>
      </x:c>
      <x:c r="J9" s="118" t="str">
        <x:v>月模型成本(CNY)</x:v>
      </x:c>
      <x:c r="K9" s="118" t="str">
        <x:v>每千请求成本(CNY)</x:v>
      </x:c>
      <x:c r="L9" s="118" t="str">
        <x:v>单位有效结果成本(CNY)</x:v>
      </x:c>
      <x:c r="M9" s="118" t="str">
        <x:v>价格条件</x:v>
      </x:c>
      <x:c r="N9" s="133" t="str">
        <x:v>价格来源</x:v>
      </x:c>
      <x:c r="O9" s="118" t="str">
        <x:v>结论标签</x:v>
      </x:c>
    </x:row>
    <x:row r="10" ht="40" customHeight="1">
      <x:c r="A10" s="127" t="str">
        <x:v>海外</x:v>
      </x:c>
      <x:c r="B10" s="127" t="str">
        <x:v>OpenAI</x:v>
      </x:c>
      <x:c r="C10" s="127" t="str">
        <x:v>GPT-5.6 Sol</x:v>
      </x:c>
      <x:c r="D10" s="127" t="str">
        <x:v>USD</x:v>
      </x:c>
      <x:c r="E10" s="128" t="n">
        <x:v>4</x:v>
      </x:c>
      <x:c r="F10" s="128" t="n">
        <x:v>0.4</x:v>
      </x:c>
      <x:c r="G10" s="128" t="n">
        <x:v>20</x:v>
      </x:c>
      <x:c r="H10" s="129" t="n">
        <x:v>0.85</x:v>
      </x:c>
      <x:c r="I10" s="130" t="n">
        <x:f>$B$4/1000000*($B$2*((1-$B$5)*E10+$B$5*IF(F10="",E10,F10))+$B$3*G10)*(1-$B$7)</x:f>
        <x:v>1584</x:v>
      </x:c>
      <x:c r="J10" s="130" t="n">
        <x:f>IF(D10="USD",I10*$B$6,I10)</x:f>
        <x:v>11404.800000000001</x:v>
      </x:c>
      <x:c r="K10" s="130" t="n">
        <x:f>J10/$B$4*1000</x:f>
        <x:v>114.04800000000002</x:v>
      </x:c>
      <x:c r="L10" s="130" t="n">
        <x:f>IFERROR(J10/($B$4*H10),"")</x:f>
        <x:v>0.13417411764705883</x:v>
      </x:c>
      <x:c r="M10" s="127" t="str">
        <x:f>IF(H10&lt;0.7,"先修质量",IF(L10&lt;0.01,"极低成本",IF(L10&lt;0.1,"低成本","需看价值")))</x:f>
        <x:v>需看价值</x:v>
      </x:c>
      <x:c r="N10" s="134" t="str">
        <x:v>https://developers.openai.com/api/docs/models/gpt-5.6-sol</x:v>
      </x:c>
      <x:c r="O10" s="127"/>
    </x:row>
    <x:row r="11" ht="40" customHeight="1">
      <x:c r="A11" s="127" t="str">
        <x:v>海外</x:v>
      </x:c>
      <x:c r="B11" s="127" t="str">
        <x:v>OpenAI</x:v>
      </x:c>
      <x:c r="C11" s="127" t="str">
        <x:v>GPT-5.6 Terra</x:v>
      </x:c>
      <x:c r="D11" s="127" t="str">
        <x:v>USD</x:v>
      </x:c>
      <x:c r="E11" s="128" t="n">
        <x:v>2</x:v>
      </x:c>
      <x:c r="F11" s="128" t="n">
        <x:v>0.2</x:v>
      </x:c>
      <x:c r="G11" s="128" t="n">
        <x:v>12</x:v>
      </x:c>
      <x:c r="H11" s="129" t="n">
        <x:v>0.85</x:v>
      </x:c>
      <x:c r="I11" s="130" t="n">
        <x:f>$B$4/1000000*($B$2*((1-$B$5)*E11+$B$5*IF(F11="",E11,F11))+$B$3*G11)*(1-$B$7)</x:f>
        <x:v>892</x:v>
      </x:c>
      <x:c r="J11" s="130" t="n">
        <x:f>IF(D11="USD",I11*$B$6,I11)</x:f>
        <x:v>6422.400000000001</x:v>
      </x:c>
      <x:c r="K11" s="130" t="n">
        <x:f>J11/$B$4*1000</x:f>
        <x:v>64.224</x:v>
      </x:c>
      <x:c r="L11" s="130" t="n">
        <x:f>IFERROR(J11/($B$4*H11),"")</x:f>
        <x:v>0.07555764705882353</x:v>
      </x:c>
      <x:c r="M11" s="127" t="str">
        <x:f>IF(H11&lt;0.7,"先修质量",IF(L11&lt;0.01,"极低成本",IF(L11&lt;0.1,"低成本","需看价值")))</x:f>
        <x:v>低成本</x:v>
      </x:c>
      <x:c r="N11" s="134" t="str">
        <x:v>https://developers.openai.com/api/docs/models/gpt-5.6-terra</x:v>
      </x:c>
      <x:c r="O11" s="127"/>
    </x:row>
    <x:row r="12" ht="40" customHeight="1">
      <x:c r="A12" s="127" t="str">
        <x:v>海外</x:v>
      </x:c>
      <x:c r="B12" s="127" t="str">
        <x:v>OpenAI</x:v>
      </x:c>
      <x:c r="C12" s="127" t="str">
        <x:v>GPT-5.6 Luna</x:v>
      </x:c>
      <x:c r="D12" s="127" t="str">
        <x:v>USD</x:v>
      </x:c>
      <x:c r="E12" s="128" t="n">
        <x:v>0.2</x:v>
      </x:c>
      <x:c r="F12" s="128" t="n">
        <x:v>0.02</x:v>
      </x:c>
      <x:c r="G12" s="128" t="n">
        <x:v>1.2</x:v>
      </x:c>
      <x:c r="H12" s="129" t="n">
        <x:v>0.85</x:v>
      </x:c>
      <x:c r="I12" s="130" t="n">
        <x:f>$B$4/1000000*($B$2*((1-$B$5)*E12+$B$5*IF(F12="",E12,F12))+$B$3*G12)*(1-$B$7)</x:f>
        <x:v>89.2</x:v>
      </x:c>
      <x:c r="J12" s="130" t="n">
        <x:f>IF(D12="USD",I12*$B$6,I12)</x:f>
        <x:v>642.24</x:v>
      </x:c>
      <x:c r="K12" s="130" t="n">
        <x:f>J12/$B$4*1000</x:f>
        <x:v>6.4224</x:v>
      </x:c>
      <x:c r="L12" s="130" t="n">
        <x:f>IFERROR(J12/($B$4*H12),"")</x:f>
        <x:v>0.007555764705882353</x:v>
      </x:c>
      <x:c r="M12" s="127" t="str">
        <x:f>IF(H12&lt;0.7,"先修质量",IF(L12&lt;0.01,"极低成本",IF(L12&lt;0.1,"低成本","需看价值")))</x:f>
        <x:v>极低成本</x:v>
      </x:c>
      <x:c r="N12" s="134" t="str">
        <x:v>https://developers.openai.com/api/docs/models/gpt-5.6-luna</x:v>
      </x:c>
      <x:c r="O12" s="127"/>
    </x:row>
    <x:row r="13" ht="40" customHeight="1">
      <x:c r="A13" s="127" t="str">
        <x:v>海外</x:v>
      </x:c>
      <x:c r="B13" s="127" t="str">
        <x:v>Anthropic</x:v>
      </x:c>
      <x:c r="C13" s="127" t="str">
        <x:v>Claude Sonnet 5</x:v>
      </x:c>
      <x:c r="D13" s="127" t="str">
        <x:v>USD</x:v>
      </x:c>
      <x:c r="E13" s="128" t="n">
        <x:v>2</x:v>
      </x:c>
      <x:c r="F13" s="128" t="n">
        <x:v>0.2</x:v>
      </x:c>
      <x:c r="G13" s="128" t="n">
        <x:v>10</x:v>
      </x:c>
      <x:c r="H13" s="129" t="n">
        <x:v>0.85</x:v>
      </x:c>
      <x:c r="I13" s="130" t="n">
        <x:f>$B$4/1000000*($B$2*((1-$B$5)*E13+$B$5*IF(F13="",E13,F13))+$B$3*G13)*(1-$B$7)</x:f>
        <x:v>792</x:v>
      </x:c>
      <x:c r="J13" s="130" t="n">
        <x:f>IF(D13="USD",I13*$B$6,I13)</x:f>
        <x:v>5702.400000000001</x:v>
      </x:c>
      <x:c r="K13" s="130" t="n">
        <x:f>J13/$B$4*1000</x:f>
        <x:v>57.02400000000001</x:v>
      </x:c>
      <x:c r="L13" s="130" t="n">
        <x:f>IFERROR(J13/($B$4*H13),"")</x:f>
        <x:v>0.06708705882352942</x:v>
      </x:c>
      <x:c r="M13" s="127" t="str">
        <x:f>IF(H13&lt;0.7,"先修质量",IF(L13&lt;0.01,"极低成本",IF(L13&lt;0.1,"低成本","需看价值")))</x:f>
        <x:v>低成本</x:v>
      </x:c>
      <x:c r="N13" s="134" t="str">
        <x:v>https://platform.claude.com/docs/en/release-notes/overview</x:v>
      </x:c>
      <x:c r="O13" s="127"/>
    </x:row>
    <x:row r="14" ht="40" customHeight="1">
      <x:c r="A14" s="127" t="str">
        <x:v>海外</x:v>
      </x:c>
      <x:c r="B14" s="127" t="str">
        <x:v>Anthropic</x:v>
      </x:c>
      <x:c r="C14" s="127" t="str">
        <x:v>Claude Opus 5</x:v>
      </x:c>
      <x:c r="D14" s="127" t="str">
        <x:v>USD</x:v>
      </x:c>
      <x:c r="E14" s="128" t="n">
        <x:v>5</x:v>
      </x:c>
      <x:c r="F14" s="128" t="n">
        <x:v>0.5</x:v>
      </x:c>
      <x:c r="G14" s="128" t="n">
        <x:v>25</x:v>
      </x:c>
      <x:c r="H14" s="129" t="n">
        <x:v>0.85</x:v>
      </x:c>
      <x:c r="I14" s="130" t="n">
        <x:f>$B$4/1000000*($B$2*((1-$B$5)*E14+$B$5*IF(F14="",E14,F14))+$B$3*G14)*(1-$B$7)</x:f>
        <x:v>1980</x:v>
      </x:c>
      <x:c r="J14" s="130" t="n">
        <x:f>IF(D14="USD",I14*$B$6,I14)</x:f>
        <x:v>14256</x:v>
      </x:c>
      <x:c r="K14" s="130" t="n">
        <x:f>J14/$B$4*1000</x:f>
        <x:v>142.56</x:v>
      </x:c>
      <x:c r="L14" s="130" t="n">
        <x:f>IFERROR(J14/($B$4*H14),"")</x:f>
        <x:v>0.16771764705882353</x:v>
      </x:c>
      <x:c r="M14" s="127" t="str">
        <x:f>IF(H14&lt;0.7,"先修质量",IF(L14&lt;0.01,"极低成本",IF(L14&lt;0.1,"低成本","需看价值")))</x:f>
        <x:v>需看价值</x:v>
      </x:c>
      <x:c r="N14" s="134" t="str">
        <x:v>https://platform.claude.com/docs/en/release-notes/overview</x:v>
      </x:c>
      <x:c r="O14" s="127"/>
    </x:row>
    <x:row r="15" ht="40" customHeight="1">
      <x:c r="A15" s="127" t="str">
        <x:v>海外</x:v>
      </x:c>
      <x:c r="B15" s="127" t="str">
        <x:v>Google DeepMind</x:v>
      </x:c>
      <x:c r="C15" s="127" t="str">
        <x:v>Gemini 3.7 Flash</x:v>
      </x:c>
      <x:c r="D15" s="127" t="str">
        <x:v>USD</x:v>
      </x:c>
      <x:c r="E15" s="128" t="n">
        <x:v>0.75</x:v>
      </x:c>
      <x:c r="F15" s="128" t="n">
        <x:v>0.075</x:v>
      </x:c>
      <x:c r="G15" s="128" t="n">
        <x:v>3.75</x:v>
      </x:c>
      <x:c r="H15" s="129" t="n">
        <x:v>0.85</x:v>
      </x:c>
      <x:c r="I15" s="130" t="n">
        <x:f>$B$4/1000000*($B$2*((1-$B$5)*E15+$B$5*IF(F15="",E15,F15))+$B$3*G15)*(1-$B$7)</x:f>
        <x:v>297</x:v>
      </x:c>
      <x:c r="J15" s="130" t="n">
        <x:f>IF(D15="USD",I15*$B$6,I15)</x:f>
        <x:v>2138.4</x:v>
      </x:c>
      <x:c r="K15" s="130" t="n">
        <x:f>J15/$B$4*1000</x:f>
        <x:v>21.384</x:v>
      </x:c>
      <x:c r="L15" s="130" t="n">
        <x:f>IFERROR(J15/($B$4*H15),"")</x:f>
        <x:v>0.02515764705882353</x:v>
      </x:c>
      <x:c r="M15" s="127" t="str">
        <x:f>IF(H15&lt;0.7,"先修质量",IF(L15&lt;0.01,"极低成本",IF(L15&lt;0.1,"低成本","需看价值")))</x:f>
        <x:v>低成本</x:v>
      </x:c>
      <x:c r="N15" s="134" t="str">
        <x:v>https://ai.google.dev/gemini-api/docs/pricing</x:v>
      </x:c>
      <x:c r="O15" s="127"/>
    </x:row>
    <x:row r="16" ht="40" customHeight="1">
      <x:c r="A16" s="127" t="str">
        <x:v>海外</x:v>
      </x:c>
      <x:c r="B16" s="127" t="str">
        <x:v>Google DeepMind</x:v>
      </x:c>
      <x:c r="C16" s="127" t="str">
        <x:v>Gemini 3.5 Flash-Lite</x:v>
      </x:c>
      <x:c r="D16" s="127" t="str">
        <x:v>USD</x:v>
      </x:c>
      <x:c r="E16" s="128" t="n">
        <x:v>0.3</x:v>
      </x:c>
      <x:c r="F16" s="128" t="n">
        <x:v>0.03</x:v>
      </x:c>
      <x:c r="G16" s="128" t="n">
        <x:v>2.5</x:v>
      </x:c>
      <x:c r="H16" s="129" t="n">
        <x:v>0.85</x:v>
      </x:c>
      <x:c r="I16" s="130" t="n">
        <x:f>$B$4/1000000*($B$2*((1-$B$5)*E16+$B$5*IF(F16="",E16,F16))+$B$3*G16)*(1-$B$7)</x:f>
        <x:v>168.8</x:v>
      </x:c>
      <x:c r="J16" s="130" t="n">
        <x:f>IF(D16="USD",I16*$B$6,I16)</x:f>
        <x:v>1215.3600000000001</x:v>
      </x:c>
      <x:c r="K16" s="130" t="n">
        <x:f>J16/$B$4*1000</x:f>
        <x:v>12.1536</x:v>
      </x:c>
      <x:c r="L16" s="130" t="n">
        <x:f>IFERROR(J16/($B$4*H16),"")</x:f>
        <x:v>0.014298352941176472</x:v>
      </x:c>
      <x:c r="M16" s="127" t="str">
        <x:f>IF(H16&lt;0.7,"先修质量",IF(L16&lt;0.01,"极低成本",IF(L16&lt;0.1,"低成本","需看价值")))</x:f>
        <x:v>低成本</x:v>
      </x:c>
      <x:c r="N16" s="134" t="str">
        <x:v>https://ai.google.dev/gemini-api/docs/pricing</x:v>
      </x:c>
      <x:c r="O16" s="127"/>
    </x:row>
    <x:row r="17" ht="40" customHeight="1">
      <x:c r="A17" s="127" t="str">
        <x:v>海外</x:v>
      </x:c>
      <x:c r="B17" s="127" t="str">
        <x:v>Google DeepMind</x:v>
      </x:c>
      <x:c r="C17" s="127" t="str">
        <x:v>Gemini 3.1 Pro</x:v>
      </x:c>
      <x:c r="D17" s="127" t="str">
        <x:v>USD</x:v>
      </x:c>
      <x:c r="E17" s="128" t="n">
        <x:v>1.5</x:v>
      </x:c>
      <x:c r="F17" s="128" t="n">
        <x:v>0.15</x:v>
      </x:c>
      <x:c r="G17" s="128" t="n">
        <x:v>9</x:v>
      </x:c>
      <x:c r="H17" s="129" t="n">
        <x:v>0.85</x:v>
      </x:c>
      <x:c r="I17" s="130" t="n">
        <x:f>$B$4/1000000*($B$2*((1-$B$5)*E17+$B$5*IF(F17="",E17,F17))+$B$3*G17)*(1-$B$7)</x:f>
        <x:v>669</x:v>
      </x:c>
      <x:c r="J17" s="130" t="n">
        <x:f>IF(D17="USD",I17*$B$6,I17)</x:f>
        <x:v>4816.8</x:v>
      </x:c>
      <x:c r="K17" s="130" t="n">
        <x:f>J17/$B$4*1000</x:f>
        <x:v>48.168</x:v>
      </x:c>
      <x:c r="L17" s="130" t="n">
        <x:f>IFERROR(J17/($B$4*H17),"")</x:f>
        <x:v>0.05666823529411765</x:v>
      </x:c>
      <x:c r="M17" s="127" t="str">
        <x:f>IF(H17&lt;0.7,"先修质量",IF(L17&lt;0.01,"极低成本",IF(L17&lt;0.1,"低成本","需看价值")))</x:f>
        <x:v>低成本</x:v>
      </x:c>
      <x:c r="N17" s="134" t="str">
        <x:v>https://ai.google.dev/gemini-api/docs/pricing</x:v>
      </x:c>
      <x:c r="O17" s="127"/>
    </x:row>
    <x:row r="18" ht="40" customHeight="1">
      <x:c r="A18" s="127" t="str">
        <x:v>海外</x:v>
      </x:c>
      <x:c r="B18" s="127" t="str">
        <x:v>xAI / SpaceXAI</x:v>
      </x:c>
      <x:c r="C18" s="127" t="str">
        <x:v>Grok 4.6</x:v>
      </x:c>
      <x:c r="D18" s="127" t="str">
        <x:v>USD</x:v>
      </x:c>
      <x:c r="E18" s="128" t="n">
        <x:v>2</x:v>
      </x:c>
      <x:c r="F18" s="128" t="n">
        <x:v>0.5</x:v>
      </x:c>
      <x:c r="G18" s="128" t="n">
        <x:v>6</x:v>
      </x:c>
      <x:c r="H18" s="129" t="n">
        <x:v>0.85</x:v>
      </x:c>
      <x:c r="I18" s="130" t="n">
        <x:f>$B$4/1000000*($B$2*((1-$B$5)*E18+$B$5*IF(F18="",E18,F18))+$B$3*G18)*(1-$B$7)</x:f>
        <x:v>610</x:v>
      </x:c>
      <x:c r="J18" s="130" t="n">
        <x:f>IF(D18="USD",I18*$B$6,I18)</x:f>
        <x:v>4392</x:v>
      </x:c>
      <x:c r="K18" s="130" t="n">
        <x:f>J18/$B$4*1000</x:f>
        <x:v>43.92</x:v>
      </x:c>
      <x:c r="L18" s="130" t="n">
        <x:f>IFERROR(J18/($B$4*H18),"")</x:f>
        <x:v>0.05167058823529412</x:v>
      </x:c>
      <x:c r="M18" s="127" t="str">
        <x:f>IF(H18&lt;0.7,"先修质量",IF(L18&lt;0.01,"极低成本",IF(L18&lt;0.1,"低成本","需看价值")))</x:f>
        <x:v>低成本</x:v>
      </x:c>
      <x:c r="N18" s="134" t="str">
        <x:v>https://docs.x.ai/developers/pricing</x:v>
      </x:c>
      <x:c r="O18" s="127"/>
    </x:row>
    <x:row r="19" ht="40" customHeight="1">
      <x:c r="A19" s="127" t="str">
        <x:v>海外</x:v>
      </x:c>
      <x:c r="B19" s="127" t="str">
        <x:v>xAI / SpaceXAI</x:v>
      </x:c>
      <x:c r="C19" s="127" t="str">
        <x:v>Grok 4.3</x:v>
      </x:c>
      <x:c r="D19" s="127" t="str">
        <x:v>USD</x:v>
      </x:c>
      <x:c r="E19" s="128" t="n">
        <x:v>1.25</x:v>
      </x:c>
      <x:c r="F19" s="128" t="n">
        <x:v>0.2</x:v>
      </x:c>
      <x:c r="G19" s="128" t="n">
        <x:v>2.5</x:v>
      </x:c>
      <x:c r="H19" s="129" t="n">
        <x:v>0.85</x:v>
      </x:c>
      <x:c r="I19" s="130" t="n">
        <x:f>$B$4/1000000*($B$2*((1-$B$5)*E19+$B$5*IF(F19="",E19,F19))+$B$3*G19)*(1-$B$7)</x:f>
        <x:v>312</x:v>
      </x:c>
      <x:c r="J19" s="130" t="n">
        <x:f>IF(D19="USD",I19*$B$6,I19)</x:f>
        <x:v>2246.4</x:v>
      </x:c>
      <x:c r="K19" s="130" t="n">
        <x:f>J19/$B$4*1000</x:f>
        <x:v>22.464000000000002</x:v>
      </x:c>
      <x:c r="L19" s="130" t="n">
        <x:f>IFERROR(J19/($B$4*H19),"")</x:f>
        <x:v>0.026428235294117648</x:v>
      </x:c>
      <x:c r="M19" s="127" t="str">
        <x:f>IF(H19&lt;0.7,"先修质量",IF(L19&lt;0.01,"极低成本",IF(L19&lt;0.1,"低成本","需看价值")))</x:f>
        <x:v>低成本</x:v>
      </x:c>
      <x:c r="N19" s="134" t="str">
        <x:v>https://docs.x.ai/developers/pricing</x:v>
      </x:c>
      <x:c r="O19" s="127"/>
    </x:row>
    <x:row r="20" ht="40" customHeight="1">
      <x:c r="A20" s="127" t="str">
        <x:v>海外</x:v>
      </x:c>
      <x:c r="B20" s="127" t="str">
        <x:v>Mistral AI</x:v>
      </x:c>
      <x:c r="C20" s="127" t="str">
        <x:v>Mistral Medium 3.5</x:v>
      </x:c>
      <x:c r="D20" s="127" t="str">
        <x:v>USD</x:v>
      </x:c>
      <x:c r="E20" s="128" t="n">
        <x:v>1.5</x:v>
      </x:c>
      <x:c r="F20" s="128" t="n">
        <x:v>0.15</x:v>
      </x:c>
      <x:c r="G20" s="128" t="n">
        <x:v>7.5</x:v>
      </x:c>
      <x:c r="H20" s="129" t="n">
        <x:v>0.85</x:v>
      </x:c>
      <x:c r="I20" s="130" t="n">
        <x:f>$B$4/1000000*($B$2*((1-$B$5)*E20+$B$5*IF(F20="",E20,F20))+$B$3*G20)*(1-$B$7)</x:f>
        <x:v>594</x:v>
      </x:c>
      <x:c r="J20" s="130" t="n">
        <x:f>IF(D20="USD",I20*$B$6,I20)</x:f>
        <x:v>4276.8</x:v>
      </x:c>
      <x:c r="K20" s="130" t="n">
        <x:f>J20/$B$4*1000</x:f>
        <x:v>42.768</x:v>
      </x:c>
      <x:c r="L20" s="130" t="n">
        <x:f>IFERROR(J20/($B$4*H20),"")</x:f>
        <x:v>0.05031529411764706</x:v>
      </x:c>
      <x:c r="M20" s="127" t="str">
        <x:f>IF(H20&lt;0.7,"先修质量",IF(L20&lt;0.01,"极低成本",IF(L20&lt;0.1,"低成本","需看价值")))</x:f>
        <x:v>低成本</x:v>
      </x:c>
      <x:c r="N20" s="134" t="str">
        <x:v>https://docs.mistral.ai/inference/pricing</x:v>
      </x:c>
      <x:c r="O20" s="127"/>
    </x:row>
    <x:row r="21" ht="40" customHeight="1">
      <x:c r="A21" s="127" t="str">
        <x:v>海外</x:v>
      </x:c>
      <x:c r="B21" s="127" t="str">
        <x:v>Mistral AI</x:v>
      </x:c>
      <x:c r="C21" s="127" t="str">
        <x:v>Mistral Small 4</x:v>
      </x:c>
      <x:c r="D21" s="127" t="str">
        <x:v>USD</x:v>
      </x:c>
      <x:c r="E21" s="128" t="n">
        <x:v>0.15</x:v>
      </x:c>
      <x:c r="F21" s="128" t="n">
        <x:v>0.015</x:v>
      </x:c>
      <x:c r="G21" s="128" t="n">
        <x:v>0.6</x:v>
      </x:c>
      <x:c r="H21" s="129" t="n">
        <x:v>0.85</x:v>
      </x:c>
      <x:c r="I21" s="130" t="n">
        <x:f>$B$4/1000000*($B$2*((1-$B$5)*E21+$B$5*IF(F21="",E21,F21))+$B$3*G21)*(1-$B$7)</x:f>
        <x:v>51.900000000000006</x:v>
      </x:c>
      <x:c r="J21" s="130" t="n">
        <x:f>IF(D21="USD",I21*$B$6,I21)</x:f>
        <x:v>373.68000000000006</x:v>
      </x:c>
      <x:c r="K21" s="130" t="n">
        <x:f>J21/$B$4*1000</x:f>
        <x:v>3.7368000000000006</x:v>
      </x:c>
      <x:c r="L21" s="130" t="n">
        <x:f>IFERROR(J21/($B$4*H21),"")</x:f>
        <x:v>0.004396235294117648</x:v>
      </x:c>
      <x:c r="M21" s="127" t="str">
        <x:f>IF(H21&lt;0.7,"先修质量",IF(L21&lt;0.01,"极低成本",IF(L21&lt;0.1,"低成本","需看价值")))</x:f>
        <x:v>极低成本</x:v>
      </x:c>
      <x:c r="N21" s="134" t="str">
        <x:v>https://docs.mistral.ai/models/mistral-small-4-0-26-03</x:v>
      </x:c>
      <x:c r="O21" s="127"/>
    </x:row>
    <x:row r="22" ht="40" customHeight="1">
      <x:c r="A22" s="127" t="str">
        <x:v>海外</x:v>
      </x:c>
      <x:c r="B22" s="127" t="str">
        <x:v>Mistral AI</x:v>
      </x:c>
      <x:c r="C22" s="127" t="str">
        <x:v>Mistral Large 3</x:v>
      </x:c>
      <x:c r="D22" s="127" t="str">
        <x:v>USD</x:v>
      </x:c>
      <x:c r="E22" s="128" t="n">
        <x:v>0.5</x:v>
      </x:c>
      <x:c r="F22" s="128" t="n">
        <x:v>0.05</x:v>
      </x:c>
      <x:c r="G22" s="128" t="n">
        <x:v>1.5</x:v>
      </x:c>
      <x:c r="H22" s="129" t="n">
        <x:v>0.85</x:v>
      </x:c>
      <x:c r="I22" s="130" t="n">
        <x:f>$B$4/1000000*($B$2*((1-$B$5)*E22+$B$5*IF(F22="",E22,F22))+$B$3*G22)*(1-$B$7)</x:f>
        <x:v>148</x:v>
      </x:c>
      <x:c r="J22" s="130" t="n">
        <x:f>IF(D22="USD",I22*$B$6,I22)</x:f>
        <x:v>1065.6000000000001</x:v>
      </x:c>
      <x:c r="K22" s="130" t="n">
        <x:f>J22/$B$4*1000</x:f>
        <x:v>10.656</x:v>
      </x:c>
      <x:c r="L22" s="130" t="n">
        <x:f>IFERROR(J22/($B$4*H22),"")</x:f>
        <x:v>0.012536470588235296</x:v>
      </x:c>
      <x:c r="M22" s="127" t="str">
        <x:f>IF(H22&lt;0.7,"先修质量",IF(L22&lt;0.01,"极低成本",IF(L22&lt;0.1,"低成本","需看价值")))</x:f>
        <x:v>低成本</x:v>
      </x:c>
      <x:c r="N22" s="134" t="str">
        <x:v>https://docs.mistral.ai/inference/pricing</x:v>
      </x:c>
      <x:c r="O22" s="127"/>
    </x:row>
    <x:row r="23" ht="40" customHeight="1">
      <x:c r="A23" s="127" t="str">
        <x:v>海外</x:v>
      </x:c>
      <x:c r="B23" s="127" t="str">
        <x:v>Mistral AI</x:v>
      </x:c>
      <x:c r="C23" s="127" t="str">
        <x:v>Ministral 3 8B</x:v>
      </x:c>
      <x:c r="D23" s="127" t="str">
        <x:v>USD</x:v>
      </x:c>
      <x:c r="E23" s="128" t="n">
        <x:v>0.15</x:v>
      </x:c>
      <x:c r="F23" s="128" t="n">
        <x:v>0.015</x:v>
      </x:c>
      <x:c r="G23" s="128" t="n">
        <x:v>0.15</x:v>
      </x:c>
      <x:c r="H23" s="129" t="n">
        <x:v>0.85</x:v>
      </x:c>
      <x:c r="I23" s="130" t="n">
        <x:f>$B$4/1000000*($B$2*((1-$B$5)*E23+$B$5*IF(F23="",E23,F23))+$B$3*G23)*(1-$B$7)</x:f>
        <x:v>29.400000000000002</x:v>
      </x:c>
      <x:c r="J23" s="130" t="n">
        <x:f>IF(D23="USD",I23*$B$6,I23)</x:f>
        <x:v>211.68</x:v>
      </x:c>
      <x:c r="K23" s="130" t="n">
        <x:f>J23/$B$4*1000</x:f>
        <x:v>2.1168000000000005</x:v>
      </x:c>
      <x:c r="L23" s="130" t="n">
        <x:f>IFERROR(J23/($B$4*H23),"")</x:f>
        <x:v>0.0024903529411764705</x:v>
      </x:c>
      <x:c r="M23" s="127" t="str">
        <x:f>IF(H23&lt;0.7,"先修质量",IF(L23&lt;0.01,"极低成本",IF(L23&lt;0.1,"低成本","需看价值")))</x:f>
        <x:v>极低成本</x:v>
      </x:c>
      <x:c r="N23" s="134" t="str">
        <x:v>https://docs.mistral.ai/inference/pricing</x:v>
      </x:c>
      <x:c r="O23" s="127"/>
    </x:row>
    <x:row r="24" ht="40" customHeight="1">
      <x:c r="A24" s="127" t="str">
        <x:v>海外</x:v>
      </x:c>
      <x:c r="B24" s="127" t="str">
        <x:v>Cohere</x:v>
      </x:c>
      <x:c r="C24" s="127" t="str">
        <x:v>Command A+</x:v>
      </x:c>
      <x:c r="D24" s="127" t="str">
        <x:v>USD</x:v>
      </x:c>
      <x:c r="E24" s="128" t="n">
        <x:v>2.5</x:v>
      </x:c>
      <x:c r="F24" s="128"/>
      <x:c r="G24" s="128" t="n">
        <x:v>10</x:v>
      </x:c>
      <x:c r="H24" s="129" t="n">
        <x:v>0.85</x:v>
      </x:c>
      <x:c r="I24" s="130" t="n">
        <x:f>$B$4/1000000*($B$2*((1-$B$5)*E24+$B$5*IF(F24="",E24,F24))+$B$3*G24)*(1-$B$7)</x:f>
        <x:v>1000</x:v>
      </x:c>
      <x:c r="J24" s="130" t="n">
        <x:f>IF(D24="USD",I24*$B$6,I24)</x:f>
        <x:v>7200</x:v>
      </x:c>
      <x:c r="K24" s="130" t="n">
        <x:f>J24/$B$4*1000</x:f>
        <x:v>72</x:v>
      </x:c>
      <x:c r="L24" s="130" t="n">
        <x:f>IFERROR(J24/($B$4*H24),"")</x:f>
        <x:v>0.08470588235294117</x:v>
      </x:c>
      <x:c r="M24" s="127" t="str">
        <x:f>IF(H24&lt;0.7,"先修质量",IF(L24&lt;0.01,"极低成本",IF(L24&lt;0.1,"低成本","需看价值")))</x:f>
        <x:v>低成本</x:v>
      </x:c>
      <x:c r="N24" s="134" t="str">
        <x:v>https://docs.cohere.com/docs/command-a</x:v>
      </x:c>
      <x:c r="O24" s="127"/>
    </x:row>
    <x:row r="25" ht="40" customHeight="1">
      <x:c r="A25" s="127" t="str">
        <x:v>国内</x:v>
      </x:c>
      <x:c r="B25" s="127" t="str">
        <x:v>阿里云 / 通义千问 Qwen</x:v>
      </x:c>
      <x:c r="C25" s="127" t="str">
        <x:v>Qwen3.8-Max</x:v>
      </x:c>
      <x:c r="D25" s="127" t="str">
        <x:v>CNY</x:v>
      </x:c>
      <x:c r="E25" s="128" t="n">
        <x:v>12</x:v>
      </x:c>
      <x:c r="F25" s="128"/>
      <x:c r="G25" s="128" t="n">
        <x:v>36</x:v>
      </x:c>
      <x:c r="H25" s="129" t="n">
        <x:v>0.85</x:v>
      </x:c>
      <x:c r="I25" s="130" t="n">
        <x:f>$B$4/1000000*($B$2*((1-$B$5)*E25+$B$5*IF(F25="",E25,F25))+$B$3*G25)*(1-$B$7)</x:f>
        <x:v>4200</x:v>
      </x:c>
      <x:c r="J25" s="130" t="n">
        <x:f>IF(D25="USD",I25*$B$6,I25)</x:f>
        <x:v>4200</x:v>
      </x:c>
      <x:c r="K25" s="130" t="n">
        <x:f>J25/$B$4*1000</x:f>
        <x:v>42</x:v>
      </x:c>
      <x:c r="L25" s="130" t="n">
        <x:f>IFERROR(J25/($B$4*H25),"")</x:f>
        <x:v>0.04941176470588235</x:v>
      </x:c>
      <x:c r="M25" s="127" t="str">
        <x:f>IF(H25&lt;0.7,"先修质量",IF(L25&lt;0.01,"极低成本",IF(L25&lt;0.1,"低成本","需看价值")))</x:f>
        <x:v>低成本</x:v>
      </x:c>
      <x:c r="N25" s="134" t="str">
        <x:v>https://help.aliyun.com/zh/model-studio/model-pricing</x:v>
      </x:c>
      <x:c r="O25" s="127"/>
    </x:row>
    <x:row r="26" ht="40" customHeight="1">
      <x:c r="A26" s="127" t="str">
        <x:v>国内</x:v>
      </x:c>
      <x:c r="B26" s="127" t="str">
        <x:v>阿里云 / 通义千问 Qwen</x:v>
      </x:c>
      <x:c r="C26" s="127" t="str">
        <x:v>Qwen3-Max ≤32K</x:v>
      </x:c>
      <x:c r="D26" s="127" t="str">
        <x:v>CNY</x:v>
      </x:c>
      <x:c r="E26" s="128" t="n">
        <x:v>2.5</x:v>
      </x:c>
      <x:c r="F26" s="128"/>
      <x:c r="G26" s="128" t="n">
        <x:v>10</x:v>
      </x:c>
      <x:c r="H26" s="129" t="n">
        <x:v>0.85</x:v>
      </x:c>
      <x:c r="I26" s="130" t="n">
        <x:f>$B$4/1000000*($B$2*((1-$B$5)*E26+$B$5*IF(F26="",E26,F26))+$B$3*G26)*(1-$B$7)</x:f>
        <x:v>1000</x:v>
      </x:c>
      <x:c r="J26" s="130" t="n">
        <x:f>IF(D26="USD",I26*$B$6,I26)</x:f>
        <x:v>1000</x:v>
      </x:c>
      <x:c r="K26" s="130" t="n">
        <x:f>J26/$B$4*1000</x:f>
        <x:v>10</x:v>
      </x:c>
      <x:c r="L26" s="130" t="n">
        <x:f>IFERROR(J26/($B$4*H26),"")</x:f>
        <x:v>0.011764705882352941</x:v>
      </x:c>
      <x:c r="M26" s="127" t="str">
        <x:f>IF(H26&lt;0.7,"先修质量",IF(L26&lt;0.01,"极低成本",IF(L26&lt;0.1,"低成本","需看价值")))</x:f>
        <x:v>低成本</x:v>
      </x:c>
      <x:c r="N26" s="134" t="str">
        <x:v>https://help.aliyun.com/zh/model-studio/model-pricing</x:v>
      </x:c>
      <x:c r="O26" s="127"/>
    </x:row>
    <x:row r="27" ht="40" customHeight="1">
      <x:c r="A27" s="127" t="str">
        <x:v>国内</x:v>
      </x:c>
      <x:c r="B27" s="127" t="str">
        <x:v>百度 / 文心 ERNIE</x:v>
      </x:c>
      <x:c r="C27" s="127" t="str">
        <x:v>ERNIE 5.1 ≤32K</x:v>
      </x:c>
      <x:c r="D27" s="127" t="str">
        <x:v>CNY</x:v>
      </x:c>
      <x:c r="E27" s="128" t="n">
        <x:v>4</x:v>
      </x:c>
      <x:c r="F27" s="128"/>
      <x:c r="G27" s="128" t="n">
        <x:v>18</x:v>
      </x:c>
      <x:c r="H27" s="129" t="n">
        <x:v>0.85</x:v>
      </x:c>
      <x:c r="I27" s="130" t="n">
        <x:f>$B$4/1000000*($B$2*((1-$B$5)*E27+$B$5*IF(F27="",E27,F27))+$B$3*G27)*(1-$B$7)</x:f>
        <x:v>1700</x:v>
      </x:c>
      <x:c r="J27" s="130" t="n">
        <x:f>IF(D27="USD",I27*$B$6,I27)</x:f>
        <x:v>1700</x:v>
      </x:c>
      <x:c r="K27" s="130" t="n">
        <x:f>J27/$B$4*1000</x:f>
        <x:v>17</x:v>
      </x:c>
      <x:c r="L27" s="130" t="n">
        <x:f>IFERROR(J27/($B$4*H27),"")</x:f>
        <x:v>0.02</x:v>
      </x:c>
      <x:c r="M27" s="127" t="str">
        <x:f>IF(H27&lt;0.7,"先修质量",IF(L27&lt;0.01,"极低成本",IF(L27&lt;0.1,"低成本","需看价值")))</x:f>
        <x:v>低成本</x:v>
      </x:c>
      <x:c r="N27" s="134" t="str">
        <x:v>https://cloud.baidu.com/doc/qianfan/s/wmh4sv6ya</x:v>
      </x:c>
      <x:c r="O27" s="127"/>
    </x:row>
    <x:row r="28" ht="40" customHeight="1">
      <x:c r="A28" s="127" t="str">
        <x:v>国内</x:v>
      </x:c>
      <x:c r="B28" s="127" t="str">
        <x:v>百度 / 文心 ERNIE</x:v>
      </x:c>
      <x:c r="C28" s="127" t="str">
        <x:v>ERNIE 4.5 Turbo</x:v>
      </x:c>
      <x:c r="D28" s="127" t="str">
        <x:v>CNY</x:v>
      </x:c>
      <x:c r="E28" s="128" t="n">
        <x:v>0.8</x:v>
      </x:c>
      <x:c r="F28" s="128" t="n">
        <x:v>0.2</x:v>
      </x:c>
      <x:c r="G28" s="128" t="n">
        <x:v>3.2</x:v>
      </x:c>
      <x:c r="H28" s="129" t="n">
        <x:v>0.85</x:v>
      </x:c>
      <x:c r="I28" s="130" t="n">
        <x:f>$B$4/1000000*($B$2*((1-$B$5)*E28+$B$5*IF(F28="",E28,F28))+$B$3*G28)*(1-$B$7)</x:f>
        <x:v>284</x:v>
      </x:c>
      <x:c r="J28" s="130" t="n">
        <x:f>IF(D28="USD",I28*$B$6,I28)</x:f>
        <x:v>284</x:v>
      </x:c>
      <x:c r="K28" s="130" t="n">
        <x:f>J28/$B$4*1000</x:f>
        <x:v>2.84</x:v>
      </x:c>
      <x:c r="L28" s="130" t="n">
        <x:f>IFERROR(J28/($B$4*H28),"")</x:f>
        <x:v>0.0033411764705882354</x:v>
      </x:c>
      <x:c r="M28" s="127" t="str">
        <x:f>IF(H28&lt;0.7,"先修质量",IF(L28&lt;0.01,"极低成本",IF(L28&lt;0.1,"低成本","需看价值")))</x:f>
        <x:v>极低成本</x:v>
      </x:c>
      <x:c r="N28" s="134" t="str">
        <x:v>https://cloud.baidu.com/doc/qianfan/s/wmh4sv6ya</x:v>
      </x:c>
      <x:c r="O28" s="127"/>
    </x:row>
    <x:row r="29" ht="40" customHeight="1">
      <x:c r="A29" s="127" t="str">
        <x:v>国内</x:v>
      </x:c>
      <x:c r="B29" s="127" t="str">
        <x:v>百度 / 文心 ERNIE</x:v>
      </x:c>
      <x:c r="C29" s="127" t="str">
        <x:v>ERNIE X1.1 Preview</x:v>
      </x:c>
      <x:c r="D29" s="127" t="str">
        <x:v>CNY</x:v>
      </x:c>
      <x:c r="E29" s="128" t="n">
        <x:v>1</x:v>
      </x:c>
      <x:c r="F29" s="128"/>
      <x:c r="G29" s="128" t="n">
        <x:v>4</x:v>
      </x:c>
      <x:c r="H29" s="129" t="n">
        <x:v>0.85</x:v>
      </x:c>
      <x:c r="I29" s="130" t="n">
        <x:f>$B$4/1000000*($B$2*((1-$B$5)*E29+$B$5*IF(F29="",E29,F29))+$B$3*G29)*(1-$B$7)</x:f>
        <x:v>400</x:v>
      </x:c>
      <x:c r="J29" s="130" t="n">
        <x:f>IF(D29="USD",I29*$B$6,I29)</x:f>
        <x:v>400</x:v>
      </x:c>
      <x:c r="K29" s="130" t="n">
        <x:f>J29/$B$4*1000</x:f>
        <x:v>4</x:v>
      </x:c>
      <x:c r="L29" s="130" t="n">
        <x:f>IFERROR(J29/($B$4*H29),"")</x:f>
        <x:v>0.004705882352941176</x:v>
      </x:c>
      <x:c r="M29" s="127" t="str">
        <x:f>IF(H29&lt;0.7,"先修质量",IF(L29&lt;0.01,"极低成本",IF(L29&lt;0.1,"低成本","需看价值")))</x:f>
        <x:v>极低成本</x:v>
      </x:c>
      <x:c r="N29" s="134" t="str">
        <x:v>https://cloud.baidu.com/product-s/qianfan_home</x:v>
      </x:c>
      <x:c r="O29" s="127"/>
    </x:row>
    <x:row r="30" ht="40" customHeight="1">
      <x:c r="A30" s="127" t="str">
        <x:v>国内</x:v>
      </x:c>
      <x:c r="B30" s="127" t="str">
        <x:v>字节跳动 / 豆包 Seed</x:v>
      </x:c>
      <x:c r="C30" s="127" t="str">
        <x:v>Seed 2.1 Pro</x:v>
      </x:c>
      <x:c r="D30" s="127" t="str">
        <x:v>CNY</x:v>
      </x:c>
      <x:c r="E30" s="128" t="n">
        <x:v>6</x:v>
      </x:c>
      <x:c r="F30" s="128" t="n">
        <x:v>1.2</x:v>
      </x:c>
      <x:c r="G30" s="128" t="n">
        <x:v>30</x:v>
      </x:c>
      <x:c r="H30" s="129" t="n">
        <x:v>0.85</x:v>
      </x:c>
      <x:c r="I30" s="130" t="n">
        <x:f>$B$4/1000000*($B$2*((1-$B$5)*E30+$B$5*IF(F30="",E30,F30))+$B$3*G30)*(1-$B$7)</x:f>
        <x:v>2412</x:v>
      </x:c>
      <x:c r="J30" s="130" t="n">
        <x:f>IF(D30="USD",I30*$B$6,I30)</x:f>
        <x:v>2412</x:v>
      </x:c>
      <x:c r="K30" s="130" t="n">
        <x:f>J30/$B$4*1000</x:f>
        <x:v>24.119999999999997</x:v>
      </x:c>
      <x:c r="L30" s="130" t="n">
        <x:f>IFERROR(J30/($B$4*H30),"")</x:f>
        <x:v>0.028376470588235295</x:v>
      </x:c>
      <x:c r="M30" s="127" t="str">
        <x:f>IF(H30&lt;0.7,"先修质量",IF(L30&lt;0.01,"极低成本",IF(L30&lt;0.1,"低成本","需看价值")))</x:f>
        <x:v>低成本</x:v>
      </x:c>
      <x:c r="N30" s="134" t="str">
        <x:v>https://www.volcengine.com/product/doubao</x:v>
      </x:c>
      <x:c r="O30" s="127"/>
    </x:row>
    <x:row r="31" ht="40" customHeight="1">
      <x:c r="A31" s="127" t="str">
        <x:v>国内</x:v>
      </x:c>
      <x:c r="B31" s="127" t="str">
        <x:v>字节跳动 / 豆包 Seed</x:v>
      </x:c>
      <x:c r="C31" s="127" t="str">
        <x:v>Seed 2.1 Turbo</x:v>
      </x:c>
      <x:c r="D31" s="127" t="str">
        <x:v>CNY</x:v>
      </x:c>
      <x:c r="E31" s="128" t="n">
        <x:v>3</x:v>
      </x:c>
      <x:c r="F31" s="128" t="n">
        <x:v>0.6</x:v>
      </x:c>
      <x:c r="G31" s="128" t="n">
        <x:v>15</x:v>
      </x:c>
      <x:c r="H31" s="129" t="n">
        <x:v>0.85</x:v>
      </x:c>
      <x:c r="I31" s="130" t="n">
        <x:f>$B$4/1000000*($B$2*((1-$B$5)*E31+$B$5*IF(F31="",E31,F31))+$B$3*G31)*(1-$B$7)</x:f>
        <x:v>1206</x:v>
      </x:c>
      <x:c r="J31" s="130" t="n">
        <x:f>IF(D31="USD",I31*$B$6,I31)</x:f>
        <x:v>1206</x:v>
      </x:c>
      <x:c r="K31" s="130" t="n">
        <x:f>J31/$B$4*1000</x:f>
        <x:v>12.059999999999999</x:v>
      </x:c>
      <x:c r="L31" s="130" t="n">
        <x:f>IFERROR(J31/($B$4*H31),"")</x:f>
        <x:v>0.014188235294117647</x:v>
      </x:c>
      <x:c r="M31" s="127" t="str">
        <x:f>IF(H31&lt;0.7,"先修质量",IF(L31&lt;0.01,"极低成本",IF(L31&lt;0.1,"低成本","需看价值")))</x:f>
        <x:v>低成本</x:v>
      </x:c>
      <x:c r="N31" s="134" t="str">
        <x:v>https://www.volcengine.com/product/doubao</x:v>
      </x:c>
      <x:c r="O31" s="127"/>
    </x:row>
    <x:row r="32" ht="40" customHeight="1">
      <x:c r="A32" s="127" t="str">
        <x:v>国内</x:v>
      </x:c>
      <x:c r="B32" s="127" t="str">
        <x:v>腾讯 / 混元 Hy</x:v>
      </x:c>
      <x:c r="C32" s="127" t="str">
        <x:v>Hy3</x:v>
      </x:c>
      <x:c r="D32" s="127" t="str">
        <x:v>CNY</x:v>
      </x:c>
      <x:c r="E32" s="128" t="n">
        <x:v>1</x:v>
      </x:c>
      <x:c r="F32" s="128" t="n">
        <x:v>0.25</x:v>
      </x:c>
      <x:c r="G32" s="128" t="n">
        <x:v>4</x:v>
      </x:c>
      <x:c r="H32" s="129" t="n">
        <x:v>0.85</x:v>
      </x:c>
      <x:c r="I32" s="130" t="n">
        <x:f>$B$4/1000000*($B$2*((1-$B$5)*E32+$B$5*IF(F32="",E32,F32))+$B$3*G32)*(1-$B$7)</x:f>
        <x:v>355</x:v>
      </x:c>
      <x:c r="J32" s="130" t="n">
        <x:f>IF(D32="USD",I32*$B$6,I32)</x:f>
        <x:v>355</x:v>
      </x:c>
      <x:c r="K32" s="130" t="n">
        <x:f>J32/$B$4*1000</x:f>
        <x:v>3.5500000000000003</x:v>
      </x:c>
      <x:c r="L32" s="130" t="n">
        <x:f>IFERROR(J32/($B$4*H32),"")</x:f>
        <x:v>0.0041764705882352945</x:v>
      </x:c>
      <x:c r="M32" s="127" t="str">
        <x:f>IF(H32&lt;0.7,"先修质量",IF(L32&lt;0.01,"极低成本",IF(L32&lt;0.1,"低成本","需看价值")))</x:f>
        <x:v>极低成本</x:v>
      </x:c>
      <x:c r="N32" s="134" t="str">
        <x:v>https://cloud.tencent.com/document/product/1823/130055</x:v>
      </x:c>
      <x:c r="O32" s="127"/>
    </x:row>
    <x:row r="33" ht="40" customHeight="1">
      <x:c r="A33" s="127" t="str">
        <x:v>国内</x:v>
      </x:c>
      <x:c r="B33" s="127" t="str">
        <x:v>智谱 AI / GLM</x:v>
      </x:c>
      <x:c r="C33" s="127" t="str">
        <x:v>GLM-5.2</x:v>
      </x:c>
      <x:c r="D33" s="127" t="str">
        <x:v>CNY</x:v>
      </x:c>
      <x:c r="E33" s="128" t="n">
        <x:v>8</x:v>
      </x:c>
      <x:c r="F33" s="128" t="n">
        <x:v>2</x:v>
      </x:c>
      <x:c r="G33" s="128" t="n">
        <x:v>28</x:v>
      </x:c>
      <x:c r="H33" s="129" t="n">
        <x:v>0.85</x:v>
      </x:c>
      <x:c r="I33" s="130" t="n">
        <x:f>$B$4/1000000*($B$2*((1-$B$5)*E33+$B$5*IF(F33="",E33,F33))+$B$3*G33)*(1-$B$7)</x:f>
        <x:v>2640</x:v>
      </x:c>
      <x:c r="J33" s="130" t="n">
        <x:f>IF(D33="USD",I33*$B$6,I33)</x:f>
        <x:v>2640</x:v>
      </x:c>
      <x:c r="K33" s="130" t="n">
        <x:f>J33/$B$4*1000</x:f>
        <x:v>26.4</x:v>
      </x:c>
      <x:c r="L33" s="130" t="n">
        <x:f>IFERROR(J33/($B$4*H33),"")</x:f>
        <x:v>0.031058823529411764</x:v>
      </x:c>
      <x:c r="M33" s="127" t="str">
        <x:f>IF(H33&lt;0.7,"先修质量",IF(L33&lt;0.01,"极低成本",IF(L33&lt;0.1,"低成本","需看价值")))</x:f>
        <x:v>低成本</x:v>
      </x:c>
      <x:c r="N33" s="134" t="str">
        <x:v>https://bigmodel.cn/pricing</x:v>
      </x:c>
      <x:c r="O33" s="127"/>
    </x:row>
    <x:row r="34" ht="40" customHeight="1">
      <x:c r="A34" s="127" t="str">
        <x:v>国内</x:v>
      </x:c>
      <x:c r="B34" s="127" t="str">
        <x:v>智谱 AI / GLM</x:v>
      </x:c>
      <x:c r="C34" s="127" t="str">
        <x:v>GLM-4.7-FlashX</x:v>
      </x:c>
      <x:c r="D34" s="127" t="str">
        <x:v>CNY</x:v>
      </x:c>
      <x:c r="E34" s="128" t="n">
        <x:v>0.5</x:v>
      </x:c>
      <x:c r="F34" s="128" t="n">
        <x:v>0.1</x:v>
      </x:c>
      <x:c r="G34" s="128" t="n">
        <x:v>3</x:v>
      </x:c>
      <x:c r="H34" s="129" t="n">
        <x:v>0.85</x:v>
      </x:c>
      <x:c r="I34" s="130" t="n">
        <x:f>$B$4/1000000*($B$2*((1-$B$5)*E34+$B$5*IF(F34="",E34,F34))+$B$3*G34)*(1-$B$7)</x:f>
        <x:v>226</x:v>
      </x:c>
      <x:c r="J34" s="130" t="n">
        <x:f>IF(D34="USD",I34*$B$6,I34)</x:f>
        <x:v>226</x:v>
      </x:c>
      <x:c r="K34" s="130" t="n">
        <x:f>J34/$B$4*1000</x:f>
        <x:v>2.26</x:v>
      </x:c>
      <x:c r="L34" s="130" t="n">
        <x:f>IFERROR(J34/($B$4*H34),"")</x:f>
        <x:v>0.0026588235294117647</x:v>
      </x:c>
      <x:c r="M34" s="127" t="str">
        <x:f>IF(H34&lt;0.7,"先修质量",IF(L34&lt;0.01,"极低成本",IF(L34&lt;0.1,"低成本","需看价值")))</x:f>
        <x:v>极低成本</x:v>
      </x:c>
      <x:c r="N34" s="134" t="str">
        <x:v>https://bigmodel.cn/pricing</x:v>
      </x:c>
      <x:c r="O34" s="127"/>
    </x:row>
    <x:row r="35" ht="40" customHeight="1">
      <x:c r="A35" s="127" t="str">
        <x:v>国内</x:v>
      </x:c>
      <x:c r="B35" s="127" t="str">
        <x:v>智谱 AI / GLM</x:v>
      </x:c>
      <x:c r="C35" s="127" t="str">
        <x:v>GLM-4.7-Flash</x:v>
      </x:c>
      <x:c r="D35" s="127" t="str">
        <x:v>CNY</x:v>
      </x:c>
      <x:c r="E35" s="128" t="n">
        <x:v>0</x:v>
      </x:c>
      <x:c r="F35" s="128" t="n">
        <x:v>0</x:v>
      </x:c>
      <x:c r="G35" s="128" t="n">
        <x:v>0</x:v>
      </x:c>
      <x:c r="H35" s="129" t="n">
        <x:v>0.85</x:v>
      </x:c>
      <x:c r="I35" s="130" t="n">
        <x:f>$B$4/1000000*($B$2*((1-$B$5)*E35+$B$5*IF(F35="",E35,F35))+$B$3*G35)*(1-$B$7)</x:f>
        <x:v>0</x:v>
      </x:c>
      <x:c r="J35" s="130" t="n">
        <x:f>IF(D35="USD",I35*$B$6,I35)</x:f>
        <x:v>0</x:v>
      </x:c>
      <x:c r="K35" s="130" t="n">
        <x:f>J35/$B$4*1000</x:f>
        <x:v>0</x:v>
      </x:c>
      <x:c r="L35" s="130" t="n">
        <x:f>IFERROR(J35/($B$4*H35),"")</x:f>
        <x:v>0</x:v>
      </x:c>
      <x:c r="M35" s="127" t="str">
        <x:f>IF(H35&lt;0.7,"先修质量",IF(L35&lt;0.01,"极低成本",IF(L35&lt;0.1,"低成本","需看价值")))</x:f>
        <x:v>极低成本</x:v>
      </x:c>
      <x:c r="N35" s="134" t="str">
        <x:v>https://bigmodel.cn/pricing</x:v>
      </x:c>
      <x:c r="O35" s="127"/>
    </x:row>
    <x:row r="36" ht="40" customHeight="1">
      <x:c r="A36" s="127" t="str">
        <x:v>国内</x:v>
      </x:c>
      <x:c r="B36" s="127" t="str">
        <x:v>DeepSeek</x:v>
      </x:c>
      <x:c r="C36" s="127" t="str">
        <x:v>DeepSeek V4 Flash</x:v>
      </x:c>
      <x:c r="D36" s="127" t="str">
        <x:v>CNY</x:v>
      </x:c>
      <x:c r="E36" s="128" t="n">
        <x:v>1</x:v>
      </x:c>
      <x:c r="F36" s="128" t="n">
        <x:v>0.02</x:v>
      </x:c>
      <x:c r="G36" s="128" t="n">
        <x:v>2</x:v>
      </x:c>
      <x:c r="H36" s="129" t="n">
        <x:v>0.85</x:v>
      </x:c>
      <x:c r="I36" s="130" t="n">
        <x:f>$B$4/1000000*($B$2*((1-$B$5)*E36+$B$5*IF(F36="",E36,F36))+$B$3*G36)*(1-$B$7)</x:f>
        <x:v>241.20000000000002</x:v>
      </x:c>
      <x:c r="J36" s="130" t="n">
        <x:f>IF(D36="USD",I36*$B$6,I36)</x:f>
        <x:v>241.20000000000002</x:v>
      </x:c>
      <x:c r="K36" s="130" t="n">
        <x:f>J36/$B$4*1000</x:f>
        <x:v>2.412</x:v>
      </x:c>
      <x:c r="L36" s="130" t="n">
        <x:f>IFERROR(J36/($B$4*H36),"")</x:f>
        <x:v>0.00283764705882353</x:v>
      </x:c>
      <x:c r="M36" s="127" t="str">
        <x:f>IF(H36&lt;0.7,"先修质量",IF(L36&lt;0.01,"极低成本",IF(L36&lt;0.1,"低成本","需看价值")))</x:f>
        <x:v>极低成本</x:v>
      </x:c>
      <x:c r="N36" s="134" t="str">
        <x:v>https://api-docs.deepseek.com/quick_start/pricing</x:v>
      </x:c>
      <x:c r="O36" s="127"/>
    </x:row>
    <x:row r="37" ht="40" customHeight="1">
      <x:c r="A37" s="127" t="str">
        <x:v>国内</x:v>
      </x:c>
      <x:c r="B37" s="127" t="str">
        <x:v>DeepSeek</x:v>
      </x:c>
      <x:c r="C37" s="127" t="str">
        <x:v>DeepSeek V4 Pro</x:v>
      </x:c>
      <x:c r="D37" s="127" t="str">
        <x:v>CNY</x:v>
      </x:c>
      <x:c r="E37" s="128" t="n">
        <x:v>3</x:v>
      </x:c>
      <x:c r="F37" s="128" t="n">
        <x:v>0.025</x:v>
      </x:c>
      <x:c r="G37" s="128" t="n">
        <x:v>6</x:v>
      </x:c>
      <x:c r="H37" s="129" t="n">
        <x:v>0.85</x:v>
      </x:c>
      <x:c r="I37" s="130" t="n">
        <x:f>$B$4/1000000*($B$2*((1-$B$5)*E37+$B$5*IF(F37="",E37,F37))+$B$3*G37)*(1-$B$7)</x:f>
        <x:v>721.5</x:v>
      </x:c>
      <x:c r="J37" s="130" t="n">
        <x:f>IF(D37="USD",I37*$B$6,I37)</x:f>
        <x:v>721.5</x:v>
      </x:c>
      <x:c r="K37" s="130" t="n">
        <x:f>J37/$B$4*1000</x:f>
        <x:v>7.215</x:v>
      </x:c>
      <x:c r="L37" s="130" t="n">
        <x:f>IFERROR(J37/($B$4*H37),"")</x:f>
        <x:v>0.008488235294117647</x:v>
      </x:c>
      <x:c r="M37" s="127" t="str">
        <x:f>IF(H37&lt;0.7,"先修质量",IF(L37&lt;0.01,"极低成本",IF(L37&lt;0.1,"低成本","需看价值")))</x:f>
        <x:v>极低成本</x:v>
      </x:c>
      <x:c r="N37" s="134" t="str">
        <x:v>https://api-docs.deepseek.com/quick_start/pricing</x:v>
      </x:c>
      <x:c r="O37" s="127"/>
    </x:row>
    <x:row r="38" ht="40" customHeight="1">
      <x:c r="A38" s="127" t="str">
        <x:v>国内</x:v>
      </x:c>
      <x:c r="B38" s="127" t="str">
        <x:v>月之暗面 / Kimi</x:v>
      </x:c>
      <x:c r="C38" s="127" t="str">
        <x:v>Kimi K3</x:v>
      </x:c>
      <x:c r="D38" s="127" t="str">
        <x:v>CNY</x:v>
      </x:c>
      <x:c r="E38" s="128" t="n">
        <x:v>20</x:v>
      </x:c>
      <x:c r="F38" s="128" t="n">
        <x:v>2</x:v>
      </x:c>
      <x:c r="G38" s="128" t="n">
        <x:v>100</x:v>
      </x:c>
      <x:c r="H38" s="129" t="n">
        <x:v>0.85</x:v>
      </x:c>
      <x:c r="I38" s="130" t="n">
        <x:f>$B$4/1000000*($B$2*((1-$B$5)*E38+$B$5*IF(F38="",E38,F38))+$B$3*G38)*(1-$B$7)</x:f>
        <x:v>7920</x:v>
      </x:c>
      <x:c r="J38" s="130" t="n">
        <x:f>IF(D38="USD",I38*$B$6,I38)</x:f>
        <x:v>7920</x:v>
      </x:c>
      <x:c r="K38" s="130" t="n">
        <x:f>J38/$B$4*1000</x:f>
        <x:v>79.2</x:v>
      </x:c>
      <x:c r="L38" s="130" t="n">
        <x:f>IFERROR(J38/($B$4*H38),"")</x:f>
        <x:v>0.09317647058823529</x:v>
      </x:c>
      <x:c r="M38" s="127" t="str">
        <x:f>IF(H38&lt;0.7,"先修质量",IF(L38&lt;0.01,"极低成本",IF(L38&lt;0.1,"低成本","需看价值")))</x:f>
        <x:v>低成本</x:v>
      </x:c>
      <x:c r="N38" s="134" t="str">
        <x:v>https://platform.kimi.com/</x:v>
      </x:c>
      <x:c r="O38" s="127"/>
    </x:row>
    <x:row r="39" ht="40" customHeight="1">
      <x:c r="A39" s="127" t="str">
        <x:v>国内</x:v>
      </x:c>
      <x:c r="B39" s="127" t="str">
        <x:v>月之暗面 / Kimi</x:v>
      </x:c>
      <x:c r="C39" s="127" t="str">
        <x:v>Kimi K2.7 Code</x:v>
      </x:c>
      <x:c r="D39" s="127" t="str">
        <x:v>CNY</x:v>
      </x:c>
      <x:c r="E39" s="128" t="n">
        <x:v>6.5</x:v>
      </x:c>
      <x:c r="F39" s="128" t="n">
        <x:v>1.3</x:v>
      </x:c>
      <x:c r="G39" s="128" t="n">
        <x:v>27</x:v>
      </x:c>
      <x:c r="H39" s="129" t="n">
        <x:v>0.85</x:v>
      </x:c>
      <x:c r="I39" s="130" t="n">
        <x:f>$B$4/1000000*($B$2*((1-$B$5)*E39+$B$5*IF(F39="",E39,F39))+$B$3*G39)*(1-$B$7)</x:f>
        <x:v>2338</x:v>
      </x:c>
      <x:c r="J39" s="130" t="n">
        <x:f>IF(D39="USD",I39*$B$6,I39)</x:f>
        <x:v>2338</x:v>
      </x:c>
      <x:c r="K39" s="130" t="n">
        <x:f>J39/$B$4*1000</x:f>
        <x:v>23.380000000000003</x:v>
      </x:c>
      <x:c r="L39" s="130" t="n">
        <x:f>IFERROR(J39/($B$4*H39),"")</x:f>
        <x:v>0.027505882352941175</x:v>
      </x:c>
      <x:c r="M39" s="127" t="str">
        <x:f>IF(H39&lt;0.7,"先修质量",IF(L39&lt;0.01,"极低成本",IF(L39&lt;0.1,"低成本","需看价值")))</x:f>
        <x:v>低成本</x:v>
      </x:c>
      <x:c r="N39" s="134" t="str">
        <x:v>https://platform.kimi.com/</x:v>
      </x:c>
      <x:c r="O39" s="127"/>
    </x:row>
    <x:row r="40" ht="40" customHeight="1">
      <x:c r="A40" s="127" t="str">
        <x:v>国内</x:v>
      </x:c>
      <x:c r="B40" s="127" t="str">
        <x:v>月之暗面 / Kimi</x:v>
      </x:c>
      <x:c r="C40" s="127" t="str">
        <x:v>Kimi K2.6</x:v>
      </x:c>
      <x:c r="D40" s="127" t="str">
        <x:v>CNY</x:v>
      </x:c>
      <x:c r="E40" s="128" t="n">
        <x:v>6.5</x:v>
      </x:c>
      <x:c r="F40" s="128" t="n">
        <x:v>1.1</x:v>
      </x:c>
      <x:c r="G40" s="128" t="n">
        <x:v>27</x:v>
      </x:c>
      <x:c r="H40" s="129" t="n">
        <x:v>0.85</x:v>
      </x:c>
      <x:c r="I40" s="130" t="n">
        <x:f>$B$4/1000000*($B$2*((1-$B$5)*E40+$B$5*IF(F40="",E40,F40))+$B$3*G40)*(1-$B$7)</x:f>
        <x:v>2326</x:v>
      </x:c>
      <x:c r="J40" s="130" t="n">
        <x:f>IF(D40="USD",I40*$B$6,I40)</x:f>
        <x:v>2326</x:v>
      </x:c>
      <x:c r="K40" s="130" t="n">
        <x:f>J40/$B$4*1000</x:f>
        <x:v>23.259999999999998</x:v>
      </x:c>
      <x:c r="L40" s="130" t="n">
        <x:f>IFERROR(J40/($B$4*H40),"")</x:f>
        <x:v>0.02736470588235294</x:v>
      </x:c>
      <x:c r="M40" s="127" t="str">
        <x:f>IF(H40&lt;0.7,"先修质量",IF(L40&lt;0.01,"极低成本",IF(L40&lt;0.1,"低成本","需看价值")))</x:f>
        <x:v>低成本</x:v>
      </x:c>
      <x:c r="N40" s="134" t="str">
        <x:v>https://platform.kimi.com/</x:v>
      </x:c>
      <x:c r="O40" s="127"/>
    </x:row>
    <x:row r="41" ht="40" customHeight="1">
      <x:c r="A41" s="127" t="str">
        <x:v>国内</x:v>
      </x:c>
      <x:c r="B41" s="127" t="str">
        <x:v>MiniMax</x:v>
      </x:c>
      <x:c r="C41" s="127" t="str">
        <x:v>MiniMax M2.7</x:v>
      </x:c>
      <x:c r="D41" s="127" t="str">
        <x:v>CNY</x:v>
      </x:c>
      <x:c r="E41" s="128" t="n">
        <x:v>2.1</x:v>
      </x:c>
      <x:c r="F41" s="128" t="n">
        <x:v>0.42</x:v>
      </x:c>
      <x:c r="G41" s="128" t="n">
        <x:v>8.4</x:v>
      </x:c>
      <x:c r="H41" s="129" t="n">
        <x:v>0.85</x:v>
      </x:c>
      <x:c r="I41" s="130" t="n">
        <x:f>$B$4/1000000*($B$2*((1-$B$5)*E41+$B$5*IF(F41="",E41,F41))+$B$3*G41)*(1-$B$7)</x:f>
        <x:v>739.2</x:v>
      </x:c>
      <x:c r="J41" s="130" t="n">
        <x:f>IF(D41="USD",I41*$B$6,I41)</x:f>
        <x:v>739.2</x:v>
      </x:c>
      <x:c r="K41" s="130" t="n">
        <x:f>J41/$B$4*1000</x:f>
        <x:v>7.392</x:v>
      </x:c>
      <x:c r="L41" s="130" t="n">
        <x:f>IFERROR(J41/($B$4*H41),"")</x:f>
        <x:v>0.008696470588235295</x:v>
      </x:c>
      <x:c r="M41" s="127" t="str">
        <x:f>IF(H41&lt;0.7,"先修质量",IF(L41&lt;0.01,"极低成本",IF(L41&lt;0.1,"低成本","需看价值")))</x:f>
        <x:v>极低成本</x:v>
      </x:c>
      <x:c r="N41" s="134" t="str">
        <x:v>https://platform.minimaxi.com/docs/guides/pricing-paygo</x:v>
      </x:c>
      <x:c r="O41" s="127"/>
    </x:row>
    <x:row r="42" ht="40" customHeight="1">
      <x:c r="A42" s="127" t="str">
        <x:v>国内</x:v>
      </x:c>
      <x:c r="B42" s="127" t="str">
        <x:v>MiniMax</x:v>
      </x:c>
      <x:c r="C42" s="127" t="str">
        <x:v>MiniMax M2.5</x:v>
      </x:c>
      <x:c r="D42" s="127" t="str">
        <x:v>CNY</x:v>
      </x:c>
      <x:c r="E42" s="128" t="n">
        <x:v>2.1</x:v>
      </x:c>
      <x:c r="F42" s="128" t="n">
        <x:v>0.21</x:v>
      </x:c>
      <x:c r="G42" s="128" t="n">
        <x:v>8.4</x:v>
      </x:c>
      <x:c r="H42" s="129" t="n">
        <x:v>0.85</x:v>
      </x:c>
      <x:c r="I42" s="130" t="n">
        <x:f>$B$4/1000000*($B$2*((1-$B$5)*E42+$B$5*IF(F42="",E42,F42))+$B$3*G42)*(1-$B$7)</x:f>
        <x:v>726.6</x:v>
      </x:c>
      <x:c r="J42" s="130" t="n">
        <x:f>IF(D42="USD",I42*$B$6,I42)</x:f>
        <x:v>726.6</x:v>
      </x:c>
      <x:c r="K42" s="130" t="n">
        <x:f>J42/$B$4*1000</x:f>
        <x:v>7.266</x:v>
      </x:c>
      <x:c r="L42" s="130" t="n">
        <x:f>IFERROR(J42/($B$4*H42),"")</x:f>
        <x:v>0.008548235294117648</x:v>
      </x:c>
      <x:c r="M42" s="127" t="str">
        <x:f>IF(H42&lt;0.7,"先修质量",IF(L42&lt;0.01,"极低成本",IF(L42&lt;0.1,"低成本","需看价值")))</x:f>
        <x:v>极低成本</x:v>
      </x:c>
      <x:c r="N42" s="134" t="str">
        <x:v>https://platform.minimaxi.com/docs/guides/pricing-paygo</x:v>
      </x:c>
      <x:c r="O42" s="127"/>
    </x:row>
    <x:row r="43" ht="40" customHeight="1">
      <x:c r="A43" s="127" t="str">
        <x:v>国内</x:v>
      </x:c>
      <x:c r="B43" s="127" t="str">
        <x:v>科大讯飞 / 星火</x:v>
      </x:c>
      <x:c r="C43" s="127" t="str">
        <x:v>星火 X2 Flash</x:v>
      </x:c>
      <x:c r="D43" s="127" t="str">
        <x:v>CNY</x:v>
      </x:c>
      <x:c r="E43" s="128" t="n">
        <x:v>1</x:v>
      </x:c>
      <x:c r="F43" s="128"/>
      <x:c r="G43" s="128" t="n">
        <x:v>2</x:v>
      </x:c>
      <x:c r="H43" s="129" t="n">
        <x:v>0.85</x:v>
      </x:c>
      <x:c r="I43" s="130" t="n">
        <x:f>$B$4/1000000*($B$2*((1-$B$5)*E43+$B$5*IF(F43="",E43,F43))+$B$3*G43)*(1-$B$7)</x:f>
        <x:v>300</x:v>
      </x:c>
      <x:c r="J43" s="130" t="n">
        <x:f>IF(D43="USD",I43*$B$6,I43)</x:f>
        <x:v>300</x:v>
      </x:c>
      <x:c r="K43" s="130" t="n">
        <x:f>J43/$B$4*1000</x:f>
        <x:v>3</x:v>
      </x:c>
      <x:c r="L43" s="130" t="n">
        <x:f>IFERROR(J43/($B$4*H43),"")</x:f>
        <x:v>0.0035294117647058825</x:v>
      </x:c>
      <x:c r="M43" s="127" t="str">
        <x:f>IF(H43&lt;0.7,"先修质量",IF(L43&lt;0.01,"极低成本",IF(L43&lt;0.1,"低成本","需看价值")))</x:f>
        <x:v>极低成本</x:v>
      </x:c>
      <x:c r="N43" s="134" t="str">
        <x:v>https://xinghuo.xfyun.cn/sparkapi</x:v>
      </x:c>
      <x:c r="O43" s="127"/>
    </x:row>
    <x:row r="44" ht="40" customHeight="1">
      <x:c r="A44" s="127" t="str">
        <x:v>国内</x:v>
      </x:c>
      <x:c r="B44" s="127" t="str">
        <x:v>科大讯飞 / 星火</x:v>
      </x:c>
      <x:c r="C44" s="127" t="str">
        <x:v>星火 X2</x:v>
      </x:c>
      <x:c r="D44" s="127" t="str">
        <x:v>CNY</x:v>
      </x:c>
      <x:c r="E44" s="128" t="n">
        <x:v>3</x:v>
      </x:c>
      <x:c r="F44" s="128"/>
      <x:c r="G44" s="128" t="n">
        <x:v>3</x:v>
      </x:c>
      <x:c r="H44" s="129" t="n">
        <x:v>0.85</x:v>
      </x:c>
      <x:c r="I44" s="130" t="n">
        <x:f>$B$4/1000000*($B$2*((1-$B$5)*E44+$B$5*IF(F44="",E44,F44))+$B$3*G44)*(1-$B$7)</x:f>
        <x:v>750</x:v>
      </x:c>
      <x:c r="J44" s="130" t="n">
        <x:f>IF(D44="USD",I44*$B$6,I44)</x:f>
        <x:v>750</x:v>
      </x:c>
      <x:c r="K44" s="130" t="n">
        <x:f>J44/$B$4*1000</x:f>
        <x:v>7.5</x:v>
      </x:c>
      <x:c r="L44" s="130" t="n">
        <x:f>IFERROR(J44/($B$4*H44),"")</x:f>
        <x:v>0.008823529411764706</x:v>
      </x:c>
      <x:c r="M44" s="127" t="str">
        <x:f>IF(H44&lt;0.7,"先修质量",IF(L44&lt;0.01,"极低成本",IF(L44&lt;0.1,"低成本","需看价值")))</x:f>
        <x:v>极低成本</x:v>
      </x:c>
      <x:c r="N44" s="134" t="str">
        <x:v>https://xinghuo.xfyun.cn/sparkapi</x:v>
      </x:c>
      <x:c r="O44" s="127"/>
    </x:row>
    <x:row r="45" ht="40" customHeight="1">
      <x:c r="A45" s="127" t="str">
        <x:v>国内</x:v>
      </x:c>
      <x:c r="B45" s="127" t="str">
        <x:v>商汤 / 日日新 SenseNova</x:v>
      </x:c>
      <x:c r="C45" s="127" t="str">
        <x:v>SenseNova V6 Pro</x:v>
      </x:c>
      <x:c r="D45" s="127" t="str">
        <x:v>CNY</x:v>
      </x:c>
      <x:c r="E45" s="128" t="n">
        <x:v>3</x:v>
      </x:c>
      <x:c r="F45" s="128"/>
      <x:c r="G45" s="128" t="n">
        <x:v>9</x:v>
      </x:c>
      <x:c r="H45" s="129" t="n">
        <x:v>0.85</x:v>
      </x:c>
      <x:c r="I45" s="130" t="n">
        <x:f>$B$4/1000000*($B$2*((1-$B$5)*E45+$B$5*IF(F45="",E45,F45))+$B$3*G45)*(1-$B$7)</x:f>
        <x:v>1050</x:v>
      </x:c>
      <x:c r="J45" s="130" t="n">
        <x:f>IF(D45="USD",I45*$B$6,I45)</x:f>
        <x:v>1050</x:v>
      </x:c>
      <x:c r="K45" s="130" t="n">
        <x:f>J45/$B$4*1000</x:f>
        <x:v>10.5</x:v>
      </x:c>
      <x:c r="L45" s="130" t="n">
        <x:f>IFERROR(J45/($B$4*H45),"")</x:f>
        <x:v>0.012352941176470587</x:v>
      </x:c>
      <x:c r="M45" s="127" t="str">
        <x:f>IF(H45&lt;0.7,"先修质量",IF(L45&lt;0.01,"极低成本",IF(L45&lt;0.1,"低成本","需看价值")))</x:f>
        <x:v>低成本</x:v>
      </x:c>
      <x:c r="N45" s="134" t="str">
        <x:v>https://platform.sensenova.cn/product/APIService/pricing</x:v>
      </x:c>
      <x:c r="O45" s="127"/>
    </x:row>
    <x:row r="46" ht="40" customHeight="1">
      <x:c r="A46" s="127" t="str">
        <x:v>国内</x:v>
      </x:c>
      <x:c r="B46" s="127" t="str">
        <x:v>商汤 / 日日新 SenseNova</x:v>
      </x:c>
      <x:c r="C46" s="127" t="str">
        <x:v>SenseNova V6 Turbo</x:v>
      </x:c>
      <x:c r="D46" s="127" t="str">
        <x:v>CNY</x:v>
      </x:c>
      <x:c r="E46" s="128" t="n">
        <x:v>1.5</x:v>
      </x:c>
      <x:c r="F46" s="128"/>
      <x:c r="G46" s="128" t="n">
        <x:v>4.5</x:v>
      </x:c>
      <x:c r="H46" s="129" t="n">
        <x:v>0.85</x:v>
      </x:c>
      <x:c r="I46" s="130" t="n">
        <x:f>$B$4/1000000*($B$2*((1-$B$5)*E46+$B$5*IF(F46="",E46,F46))+$B$3*G46)*(1-$B$7)</x:f>
        <x:v>525</x:v>
      </x:c>
      <x:c r="J46" s="130" t="n">
        <x:f>IF(D46="USD",I46*$B$6,I46)</x:f>
        <x:v>525</x:v>
      </x:c>
      <x:c r="K46" s="130" t="n">
        <x:f>J46/$B$4*1000</x:f>
        <x:v>5.25</x:v>
      </x:c>
      <x:c r="L46" s="130" t="n">
        <x:f>IFERROR(J46/($B$4*H46),"")</x:f>
        <x:v>0.006176470588235294</x:v>
      </x:c>
      <x:c r="M46" s="127" t="str">
        <x:f>IF(H46&lt;0.7,"先修质量",IF(L46&lt;0.01,"极低成本",IF(L46&lt;0.1,"低成本","需看价值")))</x:f>
        <x:v>极低成本</x:v>
      </x:c>
      <x:c r="N46" s="134" t="str">
        <x:v>https://platform.sensenova.cn/product/APIService/pricing</x:v>
      </x:c>
      <x:c r="O46" s="127"/>
    </x:row>
    <x:row r="47" ht="40" customHeight="1">
      <x:c r="A47" s="127" t="str">
        <x:v>国内</x:v>
      </x:c>
      <x:c r="B47" s="127" t="str">
        <x:v>商汤 / 日日新 SenseNova</x:v>
      </x:c>
      <x:c r="C47" s="127" t="str">
        <x:v>SenseNova V6 Reasoner</x:v>
      </x:c>
      <x:c r="D47" s="127" t="str">
        <x:v>CNY</x:v>
      </x:c>
      <x:c r="E47" s="128" t="n">
        <x:v>8</x:v>
      </x:c>
      <x:c r="F47" s="128"/>
      <x:c r="G47" s="128" t="n">
        <x:v>32</x:v>
      </x:c>
      <x:c r="H47" s="129" t="n">
        <x:v>0.85</x:v>
      </x:c>
      <x:c r="I47" s="130" t="n">
        <x:f>$B$4/1000000*($B$2*((1-$B$5)*E47+$B$5*IF(F47="",E47,F47))+$B$3*G47)*(1-$B$7)</x:f>
        <x:v>3200</x:v>
      </x:c>
      <x:c r="J47" s="130" t="n">
        <x:f>IF(D47="USD",I47*$B$6,I47)</x:f>
        <x:v>3200</x:v>
      </x:c>
      <x:c r="K47" s="130" t="n">
        <x:f>J47/$B$4*1000</x:f>
        <x:v>32</x:v>
      </x:c>
      <x:c r="L47" s="130" t="n">
        <x:f>IFERROR(J47/($B$4*H47),"")</x:f>
        <x:v>0.03764705882352941</x:v>
      </x:c>
      <x:c r="M47" s="127" t="str">
        <x:f>IF(H47&lt;0.7,"先修质量",IF(L47&lt;0.01,"极低成本",IF(L47&lt;0.1,"低成本","需看价值")))</x:f>
        <x:v>低成本</x:v>
      </x:c>
      <x:c r="N47" s="134" t="str">
        <x:v>https://platform.sensenova.cn/product/APIService/pricing</x:v>
      </x:c>
      <x:c r="O47" s="127"/>
    </x:row>
    <x:row r="48" ht="40" customHeight="1">
      <x:c r="A48" s="127" t="str">
        <x:v>国内</x:v>
      </x:c>
      <x:c r="B48" s="127" t="str">
        <x:v>阶跃星辰 StepFun</x:v>
      </x:c>
      <x:c r="C48" s="127" t="str">
        <x:v>Step-3.5 Flash</x:v>
      </x:c>
      <x:c r="D48" s="127" t="str">
        <x:v>CNY</x:v>
      </x:c>
      <x:c r="E48" s="128" t="n">
        <x:v>0.7</x:v>
      </x:c>
      <x:c r="F48" s="128" t="n">
        <x:v>0.14</x:v>
      </x:c>
      <x:c r="G48" s="128" t="n">
        <x:v>2.1</x:v>
      </x:c>
      <x:c r="H48" s="129" t="n">
        <x:v>0.85</x:v>
      </x:c>
      <x:c r="I48" s="130" t="n">
        <x:f>$B$4/1000000*($B$2*((1-$B$5)*E48+$B$5*IF(F48="",E48,F48))+$B$3*G48)*(1-$B$7)</x:f>
        <x:v>211.4</x:v>
      </x:c>
      <x:c r="J48" s="130" t="n">
        <x:f>IF(D48="USD",I48*$B$6,I48)</x:f>
        <x:v>211.4</x:v>
      </x:c>
      <x:c r="K48" s="130" t="n">
        <x:f>J48/$B$4*1000</x:f>
        <x:v>2.114</x:v>
      </x:c>
      <x:c r="L48" s="130" t="n">
        <x:f>IFERROR(J48/($B$4*H48),"")</x:f>
        <x:v>0.0024870588235294117</x:v>
      </x:c>
      <x:c r="M48" s="127" t="str">
        <x:f>IF(H48&lt;0.7,"先修质量",IF(L48&lt;0.01,"极低成本",IF(L48&lt;0.1,"低成本","需看价值")))</x:f>
        <x:v>极低成本</x:v>
      </x:c>
      <x:c r="N48" s="134" t="str">
        <x:v>https://platform.stepfun.com/docs/zh/guides/pricing/details</x:v>
      </x:c>
      <x:c r="O48" s="127"/>
    </x:row>
    <x:row r="49" ht="40" customHeight="1">
      <x:c r="A49" s="127" t="str">
        <x:v>国内</x:v>
      </x:c>
      <x:c r="B49" s="127" t="str">
        <x:v>阶跃星辰 StepFun</x:v>
      </x:c>
      <x:c r="C49" s="127" t="str">
        <x:v>Step-2 mini</x:v>
      </x:c>
      <x:c r="D49" s="127" t="str">
        <x:v>CNY</x:v>
      </x:c>
      <x:c r="E49" s="128" t="n">
        <x:v>1</x:v>
      </x:c>
      <x:c r="F49" s="128" t="n">
        <x:v>0.2</x:v>
      </x:c>
      <x:c r="G49" s="128" t="n">
        <x:v>2</x:v>
      </x:c>
      <x:c r="H49" s="129" t="n">
        <x:v>0.85</x:v>
      </x:c>
      <x:c r="I49" s="130" t="n">
        <x:f>$B$4/1000000*($B$2*((1-$B$5)*E49+$B$5*IF(F49="",E49,F49))+$B$3*G49)*(1-$B$7)</x:f>
        <x:v>252</x:v>
      </x:c>
      <x:c r="J49" s="130" t="n">
        <x:f>IF(D49="USD",I49*$B$6,I49)</x:f>
        <x:v>252</x:v>
      </x:c>
      <x:c r="K49" s="130" t="n">
        <x:f>J49/$B$4*1000</x:f>
        <x:v>2.52</x:v>
      </x:c>
      <x:c r="L49" s="130" t="n">
        <x:f>IFERROR(J49/($B$4*H49),"")</x:f>
        <x:v>0.0029647058823529414</x:v>
      </x:c>
      <x:c r="M49" s="127" t="str">
        <x:f>IF(H49&lt;0.7,"先修质量",IF(L49&lt;0.01,"极低成本",IF(L49&lt;0.1,"低成本","需看价值")))</x:f>
        <x:v>极低成本</x:v>
      </x:c>
      <x:c r="N49" s="134" t="str">
        <x:v>https://platform.stepfun.com/docs/zh/guides/pricing/details</x:v>
      </x:c>
      <x:c r="O49" s="127"/>
    </x:row>
    <x:row r="50" ht="40" customHeight="1">
      <x:c r="A50" s="127" t="str">
        <x:v>国内</x:v>
      </x:c>
      <x:c r="B50" s="127" t="str">
        <x:v>百川智能</x:v>
      </x:c>
      <x:c r="C50" s="127" t="str">
        <x:v>Baichuan4 Air</x:v>
      </x:c>
      <x:c r="D50" s="127" t="str">
        <x:v>CNY</x:v>
      </x:c>
      <x:c r="E50" s="128" t="n">
        <x:v>0.98</x:v>
      </x:c>
      <x:c r="F50" s="128"/>
      <x:c r="G50" s="128" t="n">
        <x:v>0.98</x:v>
      </x:c>
      <x:c r="H50" s="129" t="n">
        <x:v>0.85</x:v>
      </x:c>
      <x:c r="I50" s="130" t="n">
        <x:f>$B$4/1000000*($B$2*((1-$B$5)*E50+$B$5*IF(F50="",E50,F50))+$B$3*G50)*(1-$B$7)</x:f>
        <x:v>245</x:v>
      </x:c>
      <x:c r="J50" s="130" t="n">
        <x:f>IF(D50="USD",I50*$B$6,I50)</x:f>
        <x:v>245</x:v>
      </x:c>
      <x:c r="K50" s="130" t="n">
        <x:f>J50/$B$4*1000</x:f>
        <x:v>2.4499999999999997</x:v>
      </x:c>
      <x:c r="L50" s="130" t="n">
        <x:f>IFERROR(J50/($B$4*H50),"")</x:f>
        <x:v>0.0028823529411764704</x:v>
      </x:c>
      <x:c r="M50" s="127" t="str">
        <x:f>IF(H50&lt;0.7,"先修质量",IF(L50&lt;0.01,"极低成本",IF(L50&lt;0.1,"低成本","需看价值")))</x:f>
        <x:v>极低成本</x:v>
      </x:c>
      <x:c r="N50" s="134" t="str">
        <x:v>https://platform.baichuan-ai.com/prices</x:v>
      </x:c>
      <x:c r="O50" s="127"/>
    </x:row>
    <x:row r="51" ht="40" customHeight="1">
      <x:c r="A51" s="127" t="str">
        <x:v>国内</x:v>
      </x:c>
      <x:c r="B51" s="127" t="str">
        <x:v>百川智能</x:v>
      </x:c>
      <x:c r="C51" s="127" t="str">
        <x:v>医疗 M3 Plus</x:v>
      </x:c>
      <x:c r="D51" s="127" t="str">
        <x:v>CNY</x:v>
      </x:c>
      <x:c r="E51" s="128" t="n">
        <x:v>5</x:v>
      </x:c>
      <x:c r="F51" s="128"/>
      <x:c r="G51" s="128" t="n">
        <x:v>9</x:v>
      </x:c>
      <x:c r="H51" s="129" t="n">
        <x:v>0.85</x:v>
      </x:c>
      <x:c r="I51" s="130" t="n">
        <x:f>$B$4/1000000*($B$2*((1-$B$5)*E51+$B$5*IF(F51="",E51,F51))+$B$3*G51)*(1-$B$7)</x:f>
        <x:v>1450</x:v>
      </x:c>
      <x:c r="J51" s="130" t="n">
        <x:f>IF(D51="USD",I51*$B$6,I51)</x:f>
        <x:v>1450</x:v>
      </x:c>
      <x:c r="K51" s="130" t="n">
        <x:f>J51/$B$4*1000</x:f>
        <x:v>14.5</x:v>
      </x:c>
      <x:c r="L51" s="130" t="n">
        <x:f>IFERROR(J51/($B$4*H51),"")</x:f>
        <x:v>0.017058823529411765</x:v>
      </x:c>
      <x:c r="M51" s="127" t="str">
        <x:f>IF(H51&lt;0.7,"先修质量",IF(L51&lt;0.01,"极低成本",IF(L51&lt;0.1,"低成本","需看价值")))</x:f>
        <x:v>低成本</x:v>
      </x:c>
      <x:c r="N51" s="134" t="str">
        <x:v>https://platform.baichuan-ai.com/prices</x:v>
      </x:c>
      <x:c r="O51" s="127"/>
    </x:row>
  </x:sheetData>
  <x:mergeCells>
    <x:mergeCell ref="A1:O1"/>
    <x:mergeCell ref="D2:O2"/>
    <x:mergeCell ref="D3:O3"/>
    <x:mergeCell ref="D4:O4"/>
    <x:mergeCell ref="D5:O5"/>
    <x:mergeCell ref="D6:O6"/>
    <x:mergeCell ref="D7:O7"/>
  </x:mergeCells>
  <x:pageMargins left="0.7" right="0.7" top="0.75" bottom="0.75" header="0.3" footer="0.3"/>
  <x:tableParts count="1">
    <x:tablePart xmlns:r="http://schemas.openxmlformats.org/officeDocument/2006/relationships" r:id="R1348b28f123a42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32" hidden="0" customWidth="1"/>
    <x:col min="5" max="5" width="28" hidden="0" customWidth="1"/>
    <x:col min="6" max="6" width="52" hidden="0" customWidth="1"/>
    <x:col min="7" max="7" width="20" hidden="0" customWidth="1"/>
    <x:col min="8" max="8" width="36" hidden="0" customWidth="1"/>
    <x:col min="9" max="9" width="14" hidden="0" customWidth="1"/>
    <x:col min="10" max="10" width="54" hidden="0" customWidth="1"/>
  </x:cols>
  <x:sheetData>
    <x:row r="1" ht="32" customHeight="1">
      <x:c r="A1" s="4" t="str">
        <x:v>应用与底模案例（官方证据优先；指标多为厂商/客户自报）</x:v>
      </x:c>
      <x:c r="B1" s="4" t="str">
        <x:v>应用与底模案例（官方证据优先；指标多为厂商/客户自报）</x:v>
      </x:c>
      <x:c r="C1" s="4" t="str">
        <x:v>应用与底模案例（官方证据优先；指标多为厂商/客户自报）</x:v>
      </x:c>
      <x:c r="D1" s="4" t="str">
        <x:v>应用与底模案例（官方证据优先；指标多为厂商/客户自报）</x:v>
      </x:c>
      <x:c r="E1" s="4" t="str">
        <x:v>应用与底模案例（官方证据优先；指标多为厂商/客户自报）</x:v>
      </x:c>
      <x:c r="F1" s="4" t="str">
        <x:v>应用与底模案例（官方证据优先；指标多为厂商/客户自报）</x:v>
      </x:c>
      <x:c r="G1" s="4" t="str">
        <x:v>应用与底模案例（官方证据优先；指标多为厂商/客户自报）</x:v>
      </x:c>
      <x:c r="H1" s="4" t="str">
        <x:v>应用与底模案例（官方证据优先；指标多为厂商/客户自报）</x:v>
      </x:c>
      <x:c r="I1" s="4" t="str">
        <x:v>应用与底模案例（官方证据优先；指标多为厂商/客户自报）</x:v>
      </x:c>
      <x:c r="J1" s="4" t="str">
        <x:v>应用与底模案例（官方证据优先；指标多为厂商/客户自报）</x:v>
      </x:c>
    </x:row>
    <x:row r="2" ht="30" customHeight="1">
      <x:c r="A2" s="70" t="str">
        <x:v>领域</x:v>
      </x:c>
      <x:c r="B2" s="70" t="str">
        <x:v>组织/项目</x:v>
      </x:c>
      <x:c r="C2" s="70" t="str">
        <x:v>厂商</x:v>
      </x:c>
      <x:c r="D2" s="70" t="str">
        <x:v>模型/底模</x:v>
      </x:c>
      <x:c r="E2" s="70" t="str">
        <x:v>任务</x:v>
      </x:c>
      <x:c r="F2" s="70" t="str">
        <x:v>公开指标/选择理由</x:v>
      </x:c>
      <x:c r="G2" s="70" t="str">
        <x:v>证据等级</x:v>
      </x:c>
      <x:c r="H2" s="70" t="str">
        <x:v>限制</x:v>
      </x:c>
      <x:c r="I2" s="70" t="str">
        <x:v>时间</x:v>
      </x:c>
      <x:c r="J2" s="70" t="str">
        <x:v>来源</x:v>
      </x:c>
    </x:row>
    <x:row r="3" ht="54" customHeight="1">
      <x:c r="A3" s="87" t="str">
        <x:v>客服</x:v>
      </x:c>
      <x:c r="B3" s="88" t="str">
        <x:v>Klarna</x:v>
      </x:c>
      <x:c r="C3" s="88" t="str">
        <x:v>OpenAI</x:v>
      </x:c>
      <x:c r="D3" s="88" t="str">
        <x:v>OpenAI 模型（版本未披露）</x:v>
      </x:c>
      <x:c r="E3" s="88" t="str">
        <x:v>全球智能客服</x:v>
      </x:c>
      <x:c r="F3" s="88" t="str">
        <x:v>首月 230 万次对话、约占客服聊天 2/3；相当于 700 名全职客服；解决时间 11 分钟→不足 2 分钟</x:v>
      </x:c>
      <x:c r="G3" s="88" t="str">
        <x:v>B｜官方客户自报</x:v>
      </x:c>
      <x:c r="H3" s="88" t="str">
        <x:v>未披露统一模型版本、独立审计与长期副作用</x:v>
      </x:c>
      <x:c r="I3" s="88" t="str">
        <x:v>2024</x:v>
      </x:c>
      <x:c r="J3" s="135" t="str">
        <x:v>https://openai.com/index/klarna/</x:v>
      </x:c>
    </x:row>
    <x:row r="4" ht="54" customHeight="1">
      <x:c r="A4" s="90" t="str">
        <x:v>客服/语音</x:v>
      </x:c>
      <x:c r="B4" s="64" t="str">
        <x:v>Intercom Fin</x:v>
      </x:c>
      <x:c r="C4" s="64" t="str">
        <x:v>OpenAI</x:v>
      </x:c>
      <x:c r="D4" s="64" t="str">
        <x:v>GPT-4.1；OpenAI Realtime API</x:v>
      </x:c>
      <x:c r="E4" s="64" t="str">
        <x:v>客服任务执行、语音客服</x:v>
      </x:c>
      <x:c r="F4" s="64" t="str">
        <x:v>官方称迁移后在保持可靠性的同时降低延迟与成本；采用按任务选模</x:v>
      </x:c>
      <x:c r="G4" s="64" t="str">
        <x:v>A｜官方案例</x:v>
      </x:c>
      <x:c r="H4" s="64" t="str">
        <x:v>未披露统一量化基线</x:v>
      </x:c>
      <x:c r="I4" s="64" t="str">
        <x:v>2025-2026</x:v>
      </x:c>
      <x:c r="J4" s="136" t="str">
        <x:v>https://openai.com/index/intercom/</x:v>
      </x:c>
    </x:row>
    <x:row r="5" ht="54" customHeight="1">
      <x:c r="A5" s="90" t="str">
        <x:v>金融/RAG</x:v>
      </x:c>
      <x:c r="B5" s="64" t="str">
        <x:v>Morgan Stanley</x:v>
      </x:c>
      <x:c r="C5" s="64" t="str">
        <x:v>OpenAI</x:v>
      </x:c>
      <x:c r="D5" s="64" t="str">
        <x:v>GPT-4；Whisper + GPT-4</x:v>
      </x:c>
      <x:c r="E5" s="64" t="str">
        <x:v>金融知识库问答、会议纪要</x:v>
      </x:c>
      <x:c r="F5" s="64" t="str">
        <x:v>约 10 万份文档；顾问团队采用率 98%；可访问文档比例约 20%→80%</x:v>
      </x:c>
      <x:c r="G5" s="64" t="str">
        <x:v>A｜官方案例</x:v>
      </x:c>
      <x:c r="H5" s="64" t="str">
        <x:v>业务指标为客户与厂商披露</x:v>
      </x:c>
      <x:c r="I5" s="64" t="str">
        <x:v>2023-2024</x:v>
      </x:c>
      <x:c r="J5" s="136" t="str">
        <x:v>https://openai.com/index/morgan-stanley/</x:v>
      </x:c>
    </x:row>
    <x:row r="6" ht="54" customHeight="1">
      <x:c r="A6" s="90" t="str">
        <x:v>客服</x:v>
      </x:c>
      <x:c r="B6" s="64" t="str">
        <x:v>Ada</x:v>
      </x:c>
      <x:c r="C6" s="64" t="str">
        <x:v>OpenAI</x:v>
      </x:c>
      <x:c r="D6" s="64" t="str">
        <x:v>OpenAI API；早期 GPT-4</x:v>
      </x:c>
      <x:c r="E6" s="64" t="str">
        <x:v>多 Agent 客服</x:v>
      </x:c>
      <x:c r="F6" s="64" t="str">
        <x:v>旧系统解决率约 30%，新系统典型约 60%，最高客户超过 80%</x:v>
      </x:c>
      <x:c r="G6" s="64" t="str">
        <x:v>A｜官方案例</x:v>
      </x:c>
      <x:c r="H6" s="64" t="str">
        <x:v>多模型/系统工程共同贡献，不能只归因底模</x:v>
      </x:c>
      <x:c r="I6" s="64" t="str">
        <x:v>2024</x:v>
      </x:c>
      <x:c r="J6" s="136" t="str">
        <x:v>https://openai.com/index/ada/</x:v>
      </x:c>
    </x:row>
    <x:row r="7" ht="54" customHeight="1">
      <x:c r="A7" s="90" t="str">
        <x:v>企业搜索</x:v>
      </x:c>
      <x:c r="B7" s="64" t="str">
        <x:v>Notion AI</x:v>
      </x:c>
      <x:c r="C7" s="64" t="str">
        <x:v>Anthropic</x:v>
      </x:c>
      <x:c r="D7" s="64" t="str">
        <x:v>Claude + 检索 + Prompt Caching</x:v>
      </x:c>
      <x:c r="E7" s="64" t="str">
        <x:v>企业搜索、问答、写作</x:v>
      </x:c>
      <x:c r="F7" s="64" t="str">
        <x:v>Osaka Gas 搜索时间降 35%；Remote 每次搜索约节省 10 分钟</x:v>
      </x:c>
      <x:c r="G7" s="64" t="str">
        <x:v>A｜官方案例</x:v>
      </x:c>
      <x:c r="H7" s="64" t="str">
        <x:v>不同客户场景与统计口径不同</x:v>
      </x:c>
      <x:c r="I7" s="64" t="str">
        <x:v>2024-2025</x:v>
      </x:c>
      <x:c r="J7" s="136" t="str">
        <x:v>https://www.anthropic.com/customers/notion</x:v>
      </x:c>
    </x:row>
    <x:row r="8" ht="54" customHeight="1">
      <x:c r="A8" s="90" t="str">
        <x:v>代码</x:v>
      </x:c>
      <x:c r="B8" s="64" t="str">
        <x:v>Palo Alto Networks</x:v>
      </x:c>
      <x:c r="C8" s="64" t="str">
        <x:v>Anthropic</x:v>
      </x:c>
      <x:c r="D8" s="64" t="str">
        <x:v>Claude 3.5 Haiku + Sonnet</x:v>
      </x:c>
      <x:c r="E8" s="64" t="str">
        <x:v>低延迟补全、复杂代码聊天与安全开发</x:v>
      </x:c>
      <x:c r="F8" s="64" t="str">
        <x:v>功能交付快 20%-30%；初级开发者集成任务快 70%</x:v>
      </x:c>
      <x:c r="G8" s="64" t="str">
        <x:v>A｜官方案例</x:v>
      </x:c>
      <x:c r="H8" s="64" t="str">
        <x:v>自报指标，模型和工具链共同贡献</x:v>
      </x:c>
      <x:c r="I8" s="64" t="str">
        <x:v>2024-2025</x:v>
      </x:c>
      <x:c r="J8" s="136" t="str">
        <x:v>https://www.anthropic.com/customers/palo-alto-networks</x:v>
      </x:c>
    </x:row>
    <x:row r="9" ht="54" customHeight="1">
      <x:c r="A9" s="90" t="str">
        <x:v>代码/Agent</x:v>
      </x:c>
      <x:c r="B9" s="64" t="str">
        <x:v>Replit Agent</x:v>
      </x:c>
      <x:c r="C9" s="64" t="str">
        <x:v>Anthropic / Google Cloud</x:v>
      </x:c>
      <x:c r="D9" s="64" t="str">
        <x:v>Claude，经 Vertex AI 部署</x:v>
      </x:c>
      <x:c r="E9" s="64" t="str">
        <x:v>自然语言生成、修改并部署应用</x:v>
      </x:c>
      <x:c r="F9" s="64" t="str">
        <x:v>支撑 10 万+应用部署至 Cloud Run；选择依据为多文件编辑与云集成</x:v>
      </x:c>
      <x:c r="G9" s="64" t="str">
        <x:v>A｜官方案例</x:v>
      </x:c>
      <x:c r="H9" s="64" t="str">
        <x:v>未公开统一效果评分</x:v>
      </x:c>
      <x:c r="I9" s="64" t="str">
        <x:v>2024-2025</x:v>
      </x:c>
      <x:c r="J9" s="136" t="str">
        <x:v>https://www.anthropic.com/customers/replit</x:v>
      </x:c>
    </x:row>
    <x:row r="10" ht="54" customHeight="1">
      <x:c r="A10" s="90" t="str">
        <x:v>内容/工作流</x:v>
      </x:c>
      <x:c r="B10" s="64" t="str">
        <x:v>Copy.ai</x:v>
      </x:c>
      <x:c r="C10" s="64" t="str">
        <x:v>Anthropic</x:v>
      </x:c>
      <x:c r="D10" s="64" t="str">
        <x:v>Claude 3 Opus / Sonnet / Haiku</x:v>
      </x:c>
      <x:c r="E10" s="64" t="str">
        <x:v>营销内容和工作流生成</x:v>
      </x:c>
      <x:c r="F10" s="64" t="str">
        <x:v>约 40%生成任务由 Claude 驱动；内容产出 4×、成本降 75%</x:v>
      </x:c>
      <x:c r="G10" s="64" t="str">
        <x:v>A｜官方案例</x:v>
      </x:c>
      <x:c r="H10" s="64" t="str">
        <x:v>客户组合与任务分配影响结果</x:v>
      </x:c>
      <x:c r="I10" s="64" t="str">
        <x:v>2024</x:v>
      </x:c>
      <x:c r="J10" s="136" t="str">
        <x:v>https://www.anthropic.com/customers/copy-ai</x:v>
      </x:c>
    </x:row>
    <x:row r="11" ht="54" customHeight="1">
      <x:c r="A11" s="90" t="str">
        <x:v>端侧</x:v>
      </x:c>
      <x:c r="B11" s="64" t="str">
        <x:v>Google Pixel 8 Pro</x:v>
      </x:c>
      <x:c r="C11" s="64" t="str">
        <x:v>Google DeepMind</x:v>
      </x:c>
      <x:c r="D11" s="64" t="str">
        <x:v>Gemini Nano</x:v>
      </x:c>
      <x:c r="E11" s="64" t="str">
        <x:v>录音摘要、Gboard 智能回复</x:v>
      </x:c>
      <x:c r="F11" s="64" t="str">
        <x:v>端侧处理敏感数据、支持离线；未公布统一质量指标</x:v>
      </x:c>
      <x:c r="G11" s="64" t="str">
        <x:v>A｜官方产品事实</x:v>
      </x:c>
      <x:c r="H11" s="64" t="str">
        <x:v>仅证明端侧可用与隐私/离线价值</x:v>
      </x:c>
      <x:c r="I11" s="64" t="str">
        <x:v>2023</x:v>
      </x:c>
      <x:c r="J11" s="136" t="str">
        <x:v>https://blog.google/products-and-platforms/devices/pixel/pixel-feature-drop-december-2023/</x:v>
      </x:c>
    </x:row>
    <x:row r="12" ht="54" customHeight="1">
      <x:c r="A12" s="90" t="str">
        <x:v>医疗/临床试验</x:v>
      </x:c>
      <x:c r="B12" s="64" t="str">
        <x:v>Paradigm</x:v>
      </x:c>
      <x:c r="C12" s="64" t="str">
        <x:v>OpenAI</x:v>
      </x:c>
      <x:c r="D12" s="64" t="str">
        <x:v>GPT-4</x:v>
      </x:c>
      <x:c r="E12" s="64" t="str">
        <x:v>病历抽取与患者匹配</x:v>
      </x:c>
      <x:c r="F12" s="64" t="str">
        <x:v>新字段接入数月→数天；临床验证时间降 90%；准确率提升 10%</x:v>
      </x:c>
      <x:c r="G12" s="64" t="str">
        <x:v>A｜官方案例</x:v>
      </x:c>
      <x:c r="H12" s="64" t="str">
        <x:v>医疗高风险，不能据此直接用于诊断</x:v>
      </x:c>
      <x:c r="I12" s="64" t="str">
        <x:v>2024</x:v>
      </x:c>
      <x:c r="J12" s="136" t="str">
        <x:v>https://openai.com/index/paradigm/</x:v>
      </x:c>
    </x:row>
    <x:row r="13" ht="54" customHeight="1">
      <x:c r="A13" s="90" t="str">
        <x:v>医疗/理赔</x:v>
      </x:c>
      <x:c r="B13" s="64" t="str">
        <x:v>MediConCen</x:v>
      </x:c>
      <x:c r="C13" s="64" t="str">
        <x:v>Google Cloud</x:v>
      </x:c>
      <x:c r="D13" s="64" t="str">
        <x:v>Gemini + Vertex AI</x:v>
      </x:c>
      <x:c r="E13" s="64" t="str">
        <x:v>理赔抽取、总结与审核建议</x:v>
      </x:c>
      <x:c r="F13" s="64" t="str">
        <x:v>字段抽取准确率 98%；处理数天→数小时；直通处理率提升 100%</x:v>
      </x:c>
      <x:c r="G13" s="64" t="str">
        <x:v>A｜官方案例</x:v>
      </x:c>
      <x:c r="H13" s="64" t="str">
        <x:v>客户自报，需在自身表单和语言上复测</x:v>
      </x:c>
      <x:c r="I13" s="64" t="str">
        <x:v>2024-2025</x:v>
      </x:c>
      <x:c r="J13" s="136" t="str">
        <x:v>https://cloud.google.com/customers/mediconcen</x:v>
      </x:c>
    </x:row>
    <x:row r="14" ht="54" customHeight="1">
      <x:c r="A14" s="90" t="str">
        <x:v>医疗底模</x:v>
      </x:c>
      <x:c r="B14" s="64" t="str">
        <x:v>MedGemma</x:v>
      </x:c>
      <x:c r="C14" s="64" t="str">
        <x:v>Google</x:v>
      </x:c>
      <x:c r="D14" s="64" t="str">
        <x:v>基于 Gemma 3 的 4B/27B 医疗开放模型</x:v>
      </x:c>
      <x:c r="E14" s="64" t="str">
        <x:v>医疗文本、影像与边缘研究</x:v>
      </x:c>
      <x:c r="F14" s="64" t="str">
        <x:v>官方报告 4B/27B 在 MedQA 为 64.4%/87.7%；强调较低推理成本</x:v>
      </x:c>
      <x:c r="G14" s="64" t="str">
        <x:v>A｜模型卡/研究</x:v>
      </x:c>
      <x:c r="H14" s="64" t="str">
        <x:v>基准不外推临床诊断；需合规验证</x:v>
      </x:c>
      <x:c r="I14" s="64" t="str">
        <x:v>2025</x:v>
      </x:c>
      <x:c r="J14" s="136" t="str">
        <x:v>https://research.google/blog/medgemma-our-most-capable-open-models-for-health-ai-development/</x:v>
      </x:c>
    </x:row>
    <x:row r="15" ht="54" customHeight="1">
      <x:c r="A15" s="90" t="str">
        <x:v>语音客服</x:v>
      </x:c>
      <x:c r="B15" s="64" t="str">
        <x:v>DoorDash</x:v>
      </x:c>
      <x:c r="C15" s="64" t="str">
        <x:v>Anthropic / AWS</x:v>
      </x:c>
      <x:c r="D15" s="64" t="str">
        <x:v>Claude 3 Haiku via Amazon Bedrock</x:v>
      </x:c>
      <x:c r="E15" s="64" t="str">
        <x:v>全语音自助联络中心</x:v>
      </x:c>
      <x:c r="F15" s="64" t="str">
        <x:v>响应延迟≤2.5 秒；测试能力 50×；8 周完成可 A/B 测试方案</x:v>
      </x:c>
      <x:c r="G15" s="64" t="str">
        <x:v>A｜AWS 案例</x:v>
      </x:c>
      <x:c r="H15" s="64" t="str">
        <x:v>工程架构和安全策略同样关键</x:v>
      </x:c>
      <x:c r="I15" s="64" t="str">
        <x:v>2024</x:v>
      </x:c>
      <x:c r="J15" s="136" t="str">
        <x:v>https://aws.amazon.com/solutions/case-studies/doordash-bedrock-case-study/</x:v>
      </x:c>
    </x:row>
    <x:row r="16" ht="54" customHeight="1">
      <x:c r="A16" s="90" t="str">
        <x:v>底模/蒸馏</x:v>
      </x:c>
      <x:c r="B16" s="64" t="str">
        <x:v>DeepSeek-R1-Distill</x:v>
      </x:c>
      <x:c r="C16" s="64" t="str">
        <x:v>DeepSeek / Qwen / Meta</x:v>
      </x:c>
      <x:c r="D16" s="64" t="str">
        <x:v>R1 基于 V3-Base；蒸馏版基于 Qwen2.5 和 Llama 3.1/3.3</x:v>
      </x:c>
      <x:c r="E16" s="64" t="str">
        <x:v>推理底模、领域蒸馏、私有部署</x:v>
      </x:c>
      <x:c r="F16" s="64" t="str">
        <x:v>官方模型卡明确底模关系，并用约 80 万条 R1 生成样本微调</x:v>
      </x:c>
      <x:c r="G16" s="64" t="str">
        <x:v>A｜官方模型卡</x:v>
      </x:c>
      <x:c r="H16" s="64" t="str">
        <x:v>证明底模关系，不证明任何业务必然最低成本</x:v>
      </x:c>
      <x:c r="I16" s="64" t="str">
        <x:v>2025</x:v>
      </x:c>
      <x:c r="J16" s="136" t="str">
        <x:v>https://github.com/deepseek-ai/DeepSeek-R1</x:v>
      </x:c>
    </x:row>
    <x:row r="17" ht="54" customHeight="1">
      <x:c r="A17" s="90" t="str">
        <x:v>日语底模</x:v>
      </x:c>
      <x:c r="B17" s="64" t="str">
        <x:v>Lightblue Qarasu</x:v>
      </x:c>
      <x:c r="C17" s="64" t="str">
        <x:v>Qwen / 阿里云</x:v>
      </x:c>
      <x:c r="D17" s="64" t="str">
        <x:v>在 Qwen-14B 上微调</x:v>
      </x:c>
      <x:c r="E17" s="64" t="str">
        <x:v>日语企业 LLM、可私有化</x:v>
      </x:c>
      <x:c r="F17" s="64" t="str">
        <x:v>官方称在多模型比较后选择 Qwen；MT-Bench 7.60</x:v>
      </x:c>
      <x:c r="G17" s="64" t="str">
        <x:v>A｜官方案例</x:v>
      </x:c>
      <x:c r="H17" s="64" t="str">
        <x:v>厂商评测，不能等同全面达到某闭源模型</x:v>
      </x:c>
      <x:c r="I17" s="64" t="str">
        <x:v>2023-2024</x:v>
      </x:c>
      <x:c r="J17" s="136" t="str">
        <x:v>https://www.alibabacloud.com/blog/lightblue-releases-japanese-language-llms-based-on-qwen-14b-for-commercial-use_600933</x:v>
      </x:c>
    </x:row>
    <x:row r="18" ht="54" customHeight="1">
      <x:c r="A18" s="90" t="str">
        <x:v>客服/开源</x:v>
      </x:c>
      <x:c r="B18" s="64" t="str">
        <x:v>AT&amp;T</x:v>
      </x:c>
      <x:c r="C18" s="64" t="str">
        <x:v>Meta</x:v>
      </x:c>
      <x:c r="D18" s="64" t="str">
        <x:v>微调 Llama</x:v>
      </x:c>
      <x:c r="E18" s="64" t="str">
        <x:v>客户服务搜索与洞察</x:v>
      </x:c>
      <x:c r="F18" s="64" t="str">
        <x:v>搜索相关响应提升近 33%，同时降低成本并提升速度</x:v>
      </x:c>
      <x:c r="G18" s="64" t="str">
        <x:v>A｜Meta 官方案例</x:v>
      </x:c>
      <x:c r="H18" s="64" t="str">
        <x:v>未披露具体 Llama 版本、成本基线与评测集</x:v>
      </x:c>
      <x:c r="I18" s="64" t="str">
        <x:v>2024</x:v>
      </x:c>
      <x:c r="J18" s="136" t="str">
        <x:v>https://ai.meta.com/blog/llama-usage-doubled-may-through-july-2024/</x:v>
      </x:c>
    </x:row>
    <x:row r="19" ht="54" customHeight="1">
      <x:c r="A19" s="90" t="str">
        <x:v>代码/开源</x:v>
      </x:c>
      <x:c r="B19" s="64" t="str">
        <x:v>Codeium</x:v>
      </x:c>
      <x:c r="C19" s="64" t="str">
        <x:v>Meta</x:v>
      </x:c>
      <x:c r="D19" s="64" t="str">
        <x:v>微调 Llama 3.1 70B/405B</x:v>
      </x:c>
      <x:c r="E19" s="64" t="str">
        <x:v>企业代码助手</x:v>
      </x:c>
      <x:c r="F19" s="64" t="str">
        <x:v>官方称单张 H100 可支持最多约 1,000 名工程师，突出低 TCO</x:v>
      </x:c>
      <x:c r="G19" s="64" t="str">
        <x:v>A｜Meta 官方案例</x:v>
      </x:c>
      <x:c r="H19" s="64" t="str">
        <x:v>吞吐取决于上下文、量化、并发和补全长度</x:v>
      </x:c>
      <x:c r="I19" s="64" t="str">
        <x:v>2024</x:v>
      </x:c>
      <x:c r="J19" s="136" t="str">
        <x:v>https://ai.meta.com/blog/codeium-ai-coding-assistant-llama/</x:v>
      </x:c>
    </x:row>
    <x:row r="20" ht="54" customHeight="1">
      <x:c r="A20" s="90" t="str">
        <x:v>游戏客服</x:v>
      </x:c>
      <x:c r="B20" s="64" t="str">
        <x:v>三七互娱</x:v>
      </x:c>
      <x:c r="C20" s="64" t="str">
        <x:v>百度</x:v>
      </x:c>
      <x:c r="D20" s="64" t="str">
        <x:v>文心大模型 + RAG（版本未披露）</x:v>
      </x:c>
      <x:c r="E20" s="64" t="str">
        <x:v>游戏客服、问题分流</x:v>
      </x:c>
      <x:c r="F20" s="64" t="str">
        <x:v>复杂问题路由能力提升 2.4×；SLA 提升 38.3 个百分点至 99.3%</x:v>
      </x:c>
      <x:c r="G20" s="64" t="str">
        <x:v>B｜官方案例</x:v>
      </x:c>
      <x:c r="H20" s="64" t="str">
        <x:v>版本和评测方法未完整公开</x:v>
      </x:c>
      <x:c r="I20" s="64" t="str">
        <x:v>2024-2025</x:v>
      </x:c>
      <x:c r="J20" s="136" t="str">
        <x:v>https://cloud.baidu.com/customer/case/sanqihuyu.html</x:v>
      </x:c>
    </x:row>
    <x:row r="21" ht="54" customHeight="1">
      <x:c r="A21" s="90" t="str">
        <x:v>气象/科学</x:v>
      </x:c>
      <x:c r="B21" s="64" t="str">
        <x:v>深圳市气象局“智霁1.0”</x:v>
      </x:c>
      <x:c r="C21" s="64" t="str">
        <x:v>华为</x:v>
      </x:c>
      <x:c r="D21" s="64" t="str">
        <x:v>盘古气象大模型 + 区域数据</x:v>
      </x:c>
      <x:c r="E21" s="64" t="str">
        <x:v>区域天气预报</x:v>
      </x:c>
      <x:c r="F21" s="64" t="str">
        <x:v>未来 5 天、3 公里分辨率；盘古全球模型推理较传统数值法快约 10,000×</x:v>
      </x:c>
      <x:c r="G21" s="64" t="str">
        <x:v>A｜官方案例</x:v>
      </x:c>
      <x:c r="H21" s="64" t="str">
        <x:v>全球模型与区域系统指标需分开理解</x:v>
      </x:c>
      <x:c r="I21" s="64" t="str">
        <x:v>2024</x:v>
      </x:c>
      <x:c r="J21" s="136" t="str">
        <x:v>https://www.huawei.com/cn/news/2024/3/pangu-weather</x:v>
      </x:c>
    </x:row>
    <x:row r="22" ht="54" customHeight="1">
      <x:c r="A22" s="90" t="str">
        <x:v>金融/代码</x:v>
      </x:c>
      <x:c r="B22" s="64" t="str">
        <x:v>邮储银行</x:v>
      </x:c>
      <x:c r="C22" s="64" t="str">
        <x:v>华为</x:v>
      </x:c>
      <x:c r="D22" s="64" t="str">
        <x:v>盘古/CodeArts</x:v>
      </x:c>
      <x:c r="E22" s="64" t="str">
        <x:v>面向 4,000+ 研发人员的代码生成与单测</x:v>
      </x:c>
      <x:c r="F22" s="64" t="str">
        <x:v>官方称生成代码直接采用率 &gt;30%，单测 &gt;60%</x:v>
      </x:c>
      <x:c r="G22" s="64" t="str">
        <x:v>A｜官方案例</x:v>
      </x:c>
      <x:c r="H22" s="64" t="str">
        <x:v>需关注银行内部代码库、规则与安全体系贡献</x:v>
      </x:c>
      <x:c r="I22" s="64" t="str">
        <x:v>2024</x:v>
      </x:c>
      <x:c r="J22" s="136" t="str">
        <x:v>https://www.huaweicloud.com/intl/en-us/news/20240920140037065.html</x:v>
      </x:c>
    </x:row>
    <x:row r="23" ht="54" customHeight="1">
      <x:c r="A23" s="90" t="str">
        <x:v>语音客服/销售</x:v>
      </x:c>
      <x:c r="B23" s="64" t="str">
        <x:v>Starlink</x:v>
      </x:c>
      <x:c r="C23" s="64" t="str">
        <x:v>xAI / SpaceXAI</x:v>
      </x:c>
      <x:c r="D23" s="64" t="str">
        <x:v>Grok Voice Think Fast</x:v>
      </x:c>
      <x:c r="E23" s="64" t="str">
        <x:v>电话销售与支持 Agent</x:v>
      </x:c>
      <x:c r="F23" s="64" t="str">
        <x:v>官方称销售转化约 20%，70% 问题可自主解决，接入 28 个业务工具</x:v>
      </x:c>
      <x:c r="G23" s="64" t="str">
        <x:v>A｜官方产品案例</x:v>
      </x:c>
      <x:c r="H23" s="64" t="str">
        <x:v>来自厂商与关联公司，需独立 A/B 复测</x:v>
      </x:c>
      <x:c r="I23" s="64" t="str">
        <x:v>2026</x:v>
      </x:c>
      <x:c r="J23" s="136" t="str">
        <x:v>https://x.ai/news/grok-voice-think-fast-1</x:v>
      </x:c>
    </x:row>
    <x:row r="24" ht="54" customHeight="1">
      <x:c r="A24" s="90" t="str">
        <x:v>客服分类</x:v>
      </x:c>
      <x:c r="B24" s="64" t="str">
        <x:v>Gelato</x:v>
      </x:c>
      <x:c r="C24" s="64" t="str">
        <x:v>Google Cloud</x:v>
      </x:c>
      <x:c r="D24" s="64" t="str">
        <x:v>Gemini 1.5 Pro</x:v>
      </x:c>
      <x:c r="E24" s="64" t="str">
        <x:v>工单分类</x:v>
      </x:c>
      <x:c r="F24" s="64" t="str">
        <x:v>每周节省约 120 小时，准确率 60%→90%</x:v>
      </x:c>
      <x:c r="G24" s="64" t="str">
        <x:v>A｜官方案例</x:v>
      </x:c>
      <x:c r="H24" s="64" t="str">
        <x:v>模型版本已非当前最新，适合作为方法案例</x:v>
      </x:c>
      <x:c r="I24" s="64" t="str">
        <x:v>2024</x:v>
      </x:c>
      <x:c r="J24" s="136" t="str">
        <x:v>https://cloud.google.com/customers/gelato</x:v>
      </x:c>
    </x:row>
    <x:row r="25" ht="54" customHeight="1">
      <x:c r="A25" s="90" t="str">
        <x:v>产品自用</x:v>
      </x:c>
      <x:c r="B25" s="64" t="str">
        <x:v>豆包 / TRAE</x:v>
      </x:c>
      <x:c r="C25" s="64" t="str">
        <x:v>字节跳动</x:v>
      </x:c>
      <x:c r="D25" s="64" t="str">
        <x:v>Seed 2.0/2.1 系列</x:v>
      </x:c>
      <x:c r="E25" s="64" t="str">
        <x:v>搜索、代码、GUI、多模态 Agent</x:v>
      </x:c>
      <x:c r="F25" s="64" t="str">
        <x:v>官方确认模型进入豆包与 TRAE；无独立业务指标</x:v>
      </x:c>
      <x:c r="G25" s="64" t="str">
        <x:v>B｜官方产品事实</x:v>
      </x:c>
      <x:c r="H25" s="64" t="str">
        <x:v>只能证明采用关系，不能证明 ROI</x:v>
      </x:c>
      <x:c r="I25" s="64" t="str">
        <x:v>2026</x:v>
      </x:c>
      <x:c r="J25" s="136" t="str">
        <x:v>https://seed.bytedance.com/en/blog/seed2-0-%25E6%25AD%25A3%25E5%25BC%258F%25E5%258F%2591%25E5%25B8%2583</x:v>
      </x:c>
    </x:row>
    <x:row r="26" ht="54" customHeight="1">
      <x:c r="A26" s="90" t="str">
        <x:v>产品自用</x:v>
      </x:c>
      <x:c r="B26" s="64" t="str">
        <x:v>元宝 / CodeBuddy / WorkBuddy</x:v>
      </x:c>
      <x:c r="C26" s="64" t="str">
        <x:v>腾讯</x:v>
      </x:c>
      <x:c r="D26" s="64" t="str">
        <x:v>Hy3</x:v>
      </x:c>
      <x:c r="E26" s="64" t="str">
        <x:v>办公、代码、搜索和 Agent</x:v>
      </x:c>
      <x:c r="F26" s="64" t="str">
        <x:v>官方确认 Hy3 深度接入多款腾讯产品；无统一量化业务指标</x:v>
      </x:c>
      <x:c r="G26" s="64" t="str">
        <x:v>B｜官方产品事实</x:v>
      </x:c>
      <x:c r="H26" s="64" t="str">
        <x:v>需在具体产品任务上验证模型占比</x:v>
      </x:c>
      <x:c r="I26" s="64" t="str">
        <x:v>2026</x:v>
      </x:c>
      <x:c r="J26" s="136" t="str">
        <x:v>https://www.tencent.com/zh-cn/tencent-hunyuan-officially-releases-hy3-advancing-agent-capabilities-and-deeper-product-integration/</x:v>
      </x:c>
    </x:row>
    <x:row r="27" ht="54" customHeight="1">
      <x:c r="A27" s="92" t="str">
        <x:v>办公 Agent</x:v>
      </x:c>
      <x:c r="B27" s="93" t="str">
        <x:v>MiniMax Agent</x:v>
      </x:c>
      <x:c r="C27" s="93" t="str">
        <x:v>MiniMax</x:v>
      </x:c>
      <x:c r="D27" s="93" t="str">
        <x:v>M2.5/M2.7</x:v>
      </x:c>
      <x:c r="E27" s="93" t="str">
        <x:v>代码、检索、Word/PPT/Excel Office Skills</x:v>
      </x:c>
      <x:c r="F27" s="93" t="str">
        <x:v>官方展示端到端交付能力；无独立量化指标</x:v>
      </x:c>
      <x:c r="G27" s="93" t="str">
        <x:v>B｜官方产品事实</x:v>
      </x:c>
      <x:c r="H27" s="93" t="str">
        <x:v>演示不等同生产成功率</x:v>
      </x:c>
      <x:c r="I27" s="93" t="str">
        <x:v>2026</x:v>
      </x:c>
      <x:c r="J27" s="137" t="str">
        <x:v>https://www.minimax.io/news/minimax-m25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5f31d9f087644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48" hidden="0" customWidth="1"/>
    <x:col min="4" max="4" width="36" hidden="0" customWidth="1"/>
    <x:col min="5" max="5" width="40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2" customHeight="1">
      <x:c r="A1" s="4" t="str">
        <x:v>场景化模型选择：短名单、隐藏成本与验证指标</x:v>
      </x:c>
      <x:c r="B1" s="4" t="str">
        <x:v>场景化模型选择：短名单、隐藏成本与验证指标</x:v>
      </x:c>
      <x:c r="C1" s="4" t="str">
        <x:v>场景化模型选择：短名单、隐藏成本与验证指标</x:v>
      </x:c>
      <x:c r="D1" s="4" t="str">
        <x:v>场景化模型选择：短名单、隐藏成本与验证指标</x:v>
      </x:c>
      <x:c r="E1" s="4" t="str">
        <x:v>场景化模型选择：短名单、隐藏成本与验证指标</x:v>
      </x:c>
      <x:c r="F1" s="4" t="str">
        <x:v>场景化模型选择：短名单、隐藏成本与验证指标</x:v>
      </x:c>
      <x:c r="G1" s="4" t="str">
        <x:v>场景化模型选择：短名单、隐藏成本与验证指标</x:v>
      </x:c>
      <x:c r="H1" s="4" t="str">
        <x:v>场景化模型选择：短名单、隐藏成本与验证指标</x:v>
      </x:c>
    </x:row>
    <x:row r="2" ht="30" customHeight="1">
      <x:c r="A2" s="70" t="str">
        <x:v>场景</x:v>
      </x:c>
      <x:c r="B2" s="70" t="str">
        <x:v>优先级</x:v>
      </x:c>
      <x:c r="C2" s="70" t="str">
        <x:v>首轮候选</x:v>
      </x:c>
      <x:c r="D2" s="70" t="str">
        <x:v>何时选择</x:v>
      </x:c>
      <x:c r="E2" s="70" t="str">
        <x:v>为什么</x:v>
      </x:c>
      <x:c r="F2" s="70" t="str">
        <x:v>隐藏成本/风险</x:v>
      </x:c>
      <x:c r="G2" s="70" t="str">
        <x:v>核心 POC 指标</x:v>
      </x:c>
      <x:c r="H2" s="70" t="str">
        <x:v>建议动作</x:v>
      </x:c>
    </x:row>
    <x:row r="3" ht="54" customHeight="1">
      <x:c r="A3" s="87" t="str">
        <x:v>复杂推理 / 长周期 Agent</x:v>
      </x:c>
      <x:c r="B3" s="88" t="str">
        <x:v>高</x:v>
      </x:c>
      <x:c r="C3" s="88" t="str">
        <x:v>GPT-5.6 Sol；Claude Opus/Fable；GLM-5.2；DeepSeek V4 Pro；Kimi K3</x:v>
      </x:c>
      <x:c r="D3" s="88" t="str">
        <x:v>任务价值高、步骤多、需要电脑/工具/代码执行</x:v>
      </x:c>
      <x:c r="E3" s="88" t="str">
        <x:v>强推理与长任务能力；工具生态较完整</x:v>
      </x:c>
      <x:c r="F3" s="88" t="str">
        <x:v>推理 tokens、工具调用、长上下文、失败重试</x:v>
      </x:c>
      <x:c r="G3" s="88" t="str">
        <x:v>任务成功率、人工接管率、工具成功率、P95 时延、每成功任务成本</x:v>
      </x:c>
      <x:c r="H3" s="89" t="str">
        <x:v>先用 100-300 条真实任务做盲测；再做成本路由</x:v>
      </x:c>
    </x:row>
    <x:row r="4" ht="54" customHeight="1">
      <x:c r="A4" s="90" t="str">
        <x:v>代码助手 / Coding Agent</x:v>
      </x:c>
      <x:c r="B4" s="64" t="str">
        <x:v>高</x:v>
      </x:c>
      <x:c r="C4" s="64" t="str">
        <x:v>GPT-5.6 Sol/Terra；Claude Sonnet/Opus；Grok 4.6；Qwen Coder；DeepSeek V4；GLM-5.2；Kimi K2.7 Code</x:v>
      </x:c>
      <x:c r="D4" s="64" t="str">
        <x:v>代码库级修改、测试、终端与多文件工作</x:v>
      </x:c>
      <x:c r="E4" s="64" t="str">
        <x:v>代码与工具调用是主战场；可分补全和 Agent 两层</x:v>
      </x:c>
      <x:c r="F4" s="64" t="str">
        <x:v>仓库上下文、沙箱时长、测试重试、第三方工具费用</x:v>
      </x:c>
      <x:c r="G4" s="64" t="str">
        <x:v>SWE 任务通过率、首轮可合并率、测试通过率、平均步骤、开发者接受率</x:v>
      </x:c>
      <x:c r="H4" s="91" t="str">
        <x:v>补全用快/小模型，架构与复杂修复再路由旗舰</x:v>
      </x:c>
    </x:row>
    <x:row r="5" ht="54" customHeight="1">
      <x:c r="A5" s="90" t="str">
        <x:v>智能客服 / 企业 RAG</x:v>
      </x:c>
      <x:c r="B5" s="64" t="str">
        <x:v>高</x:v>
      </x:c>
      <x:c r="C5" s="64" t="str">
        <x:v>Claude Sonnet/Haiku；Cohere Command；Gemini Flash；Qwen/千帆/混元/GLM；讯飞（语音）</x:v>
      </x:c>
      <x:c r="D5" s="64" t="str">
        <x:v>知识可检索、需引用、需要安全与人工转接</x:v>
      </x:c>
      <x:c r="E5" s="64" t="str">
        <x:v>客服价值更多来自 RAG、工具、评测和流程，而非单一底模</x:v>
      </x:c>
      <x:c r="F5" s="64" t="str">
        <x:v>向量/重排、搜索、知识更新、缓存、质检与人工成本</x:v>
      </x:c>
      <x:c r="G5" s="64" t="str">
        <x:v>解决率、引用正确率、转人工率、CSAT、P95、每成功会话成本</x:v>
      </x:c>
      <x:c r="H5" s="91" t="str">
        <x:v>先建立离线 gold set，再用在线小流量 A/B；禁止只看 containment</x:v>
      </x:c>
    </x:row>
    <x:row r="6" ht="54" customHeight="1">
      <x:c r="A6" s="90" t="str">
        <x:v>低成本高并发</x:v>
      </x:c>
      <x:c r="B6" s="64" t="str">
        <x:v>高</x:v>
      </x:c>
      <x:c r="C6" s="64" t="str">
        <x:v>GPT-5.6 Luna；Gemini Flash-Lite；Mistral Small 4；DeepSeek V4 Flash；Step Flash；ERNIE 4.5 Turbo；Hy3</x:v>
      </x:c>
      <x:c r="D6" s="64" t="str">
        <x:v>分类、抽取、改写、简单问答、执行层子任务</x:v>
      </x:c>
      <x:c r="E6" s="64" t="str">
        <x:v>小/Flash 模型价格与吞吐更优，可由路由器兜底到旗舰</x:v>
      </x:c>
      <x:c r="F6" s="64" t="str">
        <x:v>缓存未命中、输出过长、免费档限流、批处理时延</x:v>
      </x:c>
      <x:c r="G6" s="64" t="str">
        <x:v>业务通过率、tokens/成功任务、P95、429率、单位有效结果成本</x:v>
      </x:c>
      <x:c r="H6" s="91" t="str">
        <x:v>以真实流量回放；按成功任务成本而非 MTok 单价排序</x:v>
      </x:c>
    </x:row>
    <x:row r="7" ht="54" customHeight="1">
      <x:c r="A7" s="90" t="str">
        <x:v>长文档 / 1M 上下文</x:v>
      </x:c>
      <x:c r="B7" s="64" t="str">
        <x:v>中高</x:v>
      </x:c>
      <x:c r="C7" s="64" t="str">
        <x:v>Claude 5；GPT-5.6；Gemini；Qwen3.8；DeepSeek V4；GLM-5.2；Kimi K3</x:v>
      </x:c>
      <x:c r="D7" s="64" t="str">
        <x:v>代码库、合同包、研究资料、多轮 Agent 历史</x:v>
      </x:c>
      <x:c r="E7" s="64" t="str">
        <x:v>长窗口减少切块，但 RAG/摘要/缓存常更便宜稳定</x:v>
      </x:c>
      <x:c r="F7" s="64" t="str">
        <x:v>长上下文阶梯价、全部请求升价、缓存存储、注意力退化</x:v>
      </x:c>
      <x:c r="G7" s="64" t="str">
        <x:v>长文问答准确率、证据定位、首 token 时延、缓存命中率</x:v>
      </x:c>
      <x:c r="H7" s="91" t="str">
        <x:v>同时比较“全量上下文”和“RAG+重排+摘要”两种架构</x:v>
      </x:c>
    </x:row>
    <x:row r="8" ht="54" customHeight="1">
      <x:c r="A8" s="90" t="str">
        <x:v>多模态理解 / 文档视觉</x:v>
      </x:c>
      <x:c r="B8" s="64" t="str">
        <x:v>中高</x:v>
      </x:c>
      <x:c r="C8" s="64" t="str">
        <x:v>Gemini；GPT-5.6；Claude；Qwen-VL；GLM-5V；ERNIE 5；Seed；Mistral OCR</x:v>
      </x:c>
      <x:c r="D8" s="64" t="str">
        <x:v>图片、PDF、视频、UI、票据和复杂版式</x:v>
      </x:c>
      <x:c r="E8" s="64" t="str">
        <x:v>原生多模态减少级联误差；专业 OCR 可能更便宜</x:v>
      </x:c>
      <x:c r="F8" s="64" t="str">
        <x:v>图像/视频 token、页数计费、文件解析、版权和隐私</x:v>
      </x:c>
      <x:c r="G8" s="64" t="str">
        <x:v>字段 F1、版面还原、跨页问答、每页成本、失败重试率</x:v>
      </x:c>
      <x:c r="H8" s="91" t="str">
        <x:v>按文档类型分层评测；OCR 与通用 VLM 分开选</x:v>
      </x:c>
    </x:row>
    <x:row r="9" ht="54" customHeight="1">
      <x:c r="A9" s="90" t="str">
        <x:v>图像 / 视频生成</x:v>
      </x:c>
      <x:c r="B9" s="64" t="str">
        <x:v>中</x:v>
      </x:c>
      <x:c r="C9" s="64" t="str">
        <x:v>Seedream/Seedance；MiniMax Hailuo；Grok Imagine；SenseNova；专业模型厂商</x:v>
      </x:c>
      <x:c r="D9" s="64" t="str">
        <x:v>营销、电商、短视频、分镜与内容运营</x:v>
      </x:c>
      <x:c r="E9" s="64" t="str">
        <x:v>专用生成模型在可控性、速度和成本上更合适</x:v>
      </x:c>
      <x:c r="F9" s="64" t="str">
        <x:v>按张/秒/分辨率、失败重试、版权/肖像审核、后期编辑</x:v>
      </x:c>
      <x:c r="G9" s="64" t="str">
        <x:v>一次可用率、品牌一致性、每条可发布内容成本、人工修改时长</x:v>
      </x:c>
      <x:c r="H9" s="91" t="str">
        <x:v>固定参考图、时长、分辨率和审核规则进行盲评</x:v>
      </x:c>
    </x:row>
    <x:row r="10" ht="54" customHeight="1">
      <x:c r="A10" s="90" t="str">
        <x:v>实时语音客服</x:v>
      </x:c>
      <x:c r="B10" s="64" t="str">
        <x:v>中高</x:v>
      </x:c>
      <x:c r="C10" s="64" t="str">
        <x:v>Grok Voice；OpenAI Realtime；Gemini Live；Amazon Nova Sonic；讯飞；MiniMax Speech</x:v>
      </x:c>
      <x:c r="D10" s="64" t="str">
        <x:v>电话客服、销售、车载、陪伴与实时翻译</x:v>
      </x:c>
      <x:c r="E10" s="64" t="str">
        <x:v>端到端语音降低级联时延；本地语言/方言是关键</x:v>
      </x:c>
      <x:c r="F10" s="64" t="str">
        <x:v>音频分钟费、文本 tokens、电话/ASR/TTS、工具调用、静默时长</x:v>
      </x:c>
      <x:c r="G10" s="64" t="str">
        <x:v>端到端 P95、打断率、ASR 字错率、任务解决率、每分钟/会话成本</x:v>
      </x:c>
      <x:c r="H10" s="91" t="str">
        <x:v>必须用真实噪声、口音、打断和工具流程压测</x:v>
      </x:c>
    </x:row>
    <x:row r="11" ht="54" customHeight="1">
      <x:c r="A11" s="90" t="str">
        <x:v>端侧 / 私有化 / 国产化</x:v>
      </x:c>
      <x:c r="B11" s="64" t="str">
        <x:v>高</x:v>
      </x:c>
      <x:c r="C11" s="64" t="str">
        <x:v>Llama；Phi；Mistral；Qwen/DeepSeek/GLM/Step 开放权重；盘古/讯飞行业方案；Nemotron</x:v>
      </x:c>
      <x:c r="D11" s="64" t="str">
        <x:v>数据不可出域、离线、稳定版本、国产芯片或设备内运行</x:v>
      </x:c>
      <x:c r="E11" s="64" t="str">
        <x:v>权重和部署控制权强，可做领域适配</x:v>
      </x:c>
      <x:c r="F11" s="64" t="str">
        <x:v>GPU/芯片、量化损失、利用率、升级、安全、运维与支持</x:v>
      </x:c>
      <x:c r="G11" s="64" t="str">
        <x:v>端到端吞吐、显存、能耗、业务通过率、TCO、升级周期</x:v>
      </x:c>
      <x:c r="H11" s="91" t="str">
        <x:v>先做目标硬件 PoC；把 1-3 年 TCO 与公共 API 比较</x:v>
      </x:c>
    </x:row>
    <x:row r="12" ht="54" customHeight="1">
      <x:c r="A12" s="90" t="str">
        <x:v>医疗 / 金融 / 法务等高风险</x:v>
      </x:c>
      <x:c r="B12" s="64" t="str">
        <x:v>高</x:v>
      </x:c>
      <x:c r="C12" s="64" t="str">
        <x:v>选择可审计、数据驻留、引用与私有化能力强的平台；模型需通过垂直评测</x:v>
      </x:c>
      <x:c r="D12" s="64" t="str">
        <x:v>结论会影响人身、资产或合规</x:v>
      </x:c>
      <x:c r="E12" s="64" t="str">
        <x:v>可控工作流、引用、审计和人工复核比榜单分数更重要</x:v>
      </x:c>
      <x:c r="F12" s="64" t="str">
        <x:v>专业数据、合规、审计、专家复核、误报/漏报损失</x:v>
      </x:c>
      <x:c r="G12" s="64" t="str">
        <x:v>敏感度/特异度、引用正确率、严重错误率、复核工时、审计完备性</x:v>
      </x:c>
      <x:c r="H12" s="91" t="str">
        <x:v>限定为辅助决策；建立红线与强制人工复核</x:v>
      </x:c>
    </x:row>
    <x:row r="13" ht="54" customHeight="1">
      <x:c r="A13" s="90" t="str">
        <x:v>底模微调 / 领域模型</x:v>
      </x:c>
      <x:c r="B13" s="64" t="str">
        <x:v>中高</x:v>
      </x:c>
      <x:c r="C13" s="64" t="str">
        <x:v>Qwen、Llama、DeepSeek、Mistral、Nemotron、Phi、Yi、Baichuan 等开放权重</x:v>
      </x:c>
      <x:c r="D13" s="64" t="str">
        <x:v>有稳定垂直数据、需私有化或固定行为</x:v>
      </x:c>
      <x:c r="E13" s="64" t="str">
        <x:v>可控、可蒸馏、可量化；已有大量衍生生态</x:v>
      </x:c>
      <x:c r="F13" s="64" t="str">
        <x:v>训练数据治理、评测、灾难性遗忘、部署和许可证</x:v>
      </x:c>
      <x:c r="G13" s="64" t="str">
        <x:v>相对基座增益、回归失败率、训练/推理 TCO、许可风险</x:v>
      </x:c>
      <x:c r="H13" s="91" t="str">
        <x:v>优先 RAG/Prompt/工具；只有稳定增益再微调/蒸馏</x:v>
      </x:c>
    </x:row>
    <x:row r="14" ht="54" customHeight="1">
      <x:c r="A14" s="92" t="str">
        <x:v>模型路由 / 多模型系统</x:v>
      </x:c>
      <x:c r="B14" s="93" t="str">
        <x:v>高</x:v>
      </x:c>
      <x:c r="C14" s="93" t="str">
        <x:v>旗舰负责规划与难题；Flash/小模型负责分类、抽取、执行；专业模型处理 OCR/语音/图像</x:v>
      </x:c>
      <x:c r="D14" s="93" t="str">
        <x:v>业务任务差异大、成本敏感且允许分层</x:v>
      </x:c>
      <x:c r="E14" s="93" t="str">
        <x:v>2026 的主流架构是“模型系统”而非单模型包打天下</x:v>
      </x:c>
      <x:c r="F14" s="93" t="str">
        <x:v>路由误判、上下文迁移、缓存破坏、观测与回滚</x:v>
      </x:c>
      <x:c r="G14" s="93" t="str">
        <x:v>路由命中率、升级收益、总成功率、单位有效结果成本</x:v>
      </x:c>
      <x:c r="H14" s="94" t="str">
        <x:v>以难度/模态/风险规则起步，再训练路由器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02e6df113d844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4" hidden="0" customWidth="1"/>
    <x:col min="4" max="4" width="58" hidden="0" customWidth="1"/>
    <x:col min="5" max="5" width="14" hidden="0" customWidth="1"/>
    <x:col min="6" max="6" width="28" hidden="0" customWidth="1"/>
  </x:cols>
  <x:sheetData>
    <x:row r="1" ht="32" customHeight="1">
      <x:c r="A1" s="4" t="str">
        <x:v>研究方法、证据边界与资料来源</x:v>
      </x:c>
      <x:c r="B1" s="4" t="str">
        <x:v>研究方法、证据边界与资料来源</x:v>
      </x:c>
      <x:c r="C1" s="4" t="str">
        <x:v>研究方法、证据边界与资料来源</x:v>
      </x:c>
      <x:c r="D1" s="4" t="str">
        <x:v>研究方法、证据边界与资料来源</x:v>
      </x:c>
      <x:c r="E1" s="4" t="str">
        <x:v>研究方法、证据边界与资料来源</x:v>
      </x:c>
      <x:c r="F1" s="4" t="str">
        <x:v>研究方法、证据边界与资料来源</x:v>
      </x:c>
    </x:row>
    <x:row r="2">
      <x:c r="A2" s="138" t="str">
        <x:v>方法项</x:v>
      </x:c>
      <x:c r="B2" s="138" t="str">
        <x:v>说明</x:v>
      </x:c>
    </x:row>
    <x:row r="3">
      <x:c r="A3" s="142" t="str">
        <x:v>研究范围</x:v>
      </x:c>
      <x:c r="B3" s="89" t="str">
        <x:v>覆盖 24 家具有公开影响力、开发者生态或行业落地的大模型厂商；不纳入只做模型聚合、没有自研基础模型的纯渠道商。</x:v>
      </x:c>
    </x:row>
    <x:row r="4">
      <x:c r="A4" s="143" t="str">
        <x:v>时间范围</x:v>
      </x:c>
      <x:c r="B4" s="91" t="str">
        <x:v>2023-01-01 至 2026-08-24；时间轴保留关键代际和产品变化，不穷尽每个快照、实验版或区域别名。</x:v>
      </x:c>
    </x:row>
    <x:row r="5">
      <x:c r="A5" s="143" t="str">
        <x:v>价格口径</x:v>
      </x:c>
      <x:c r="B5" s="91" t="str">
        <x:v>默认公共在线 API 标准/短上下文价格；输入、缓存命中、缓存写入、输出分别记录。Batch/Flex、优先级、长上下文、搜索/工具、音视频、地域溢价另注。</x:v>
      </x:c>
    </x:row>
    <x:row r="6">
      <x:c r="A6" s="143" t="str">
        <x:v>案例口径</x:v>
      </x:c>
      <x:c r="B6" s="91" t="str">
        <x:v>A=官方客户案例/技术文档/模型卡且模型关系较明确；B=官方产品/案例但版本、指标或评测方法未完整披露；业务指标多为厂商/客户自报。</x:v>
      </x:c>
    </x:row>
    <x:row r="7">
      <x:c r="A7" s="143" t="str">
        <x:v>不可直接横比</x:v>
      </x:c>
      <x:c r="B7" s="91" t="str">
        <x:v>开放权重无统一 API 价；自建需计入 GPU、利用率、量化损失、运维、安全、网络和升级。不同 tokenizer 也会导致同一文本 tokens 不同。</x:v>
      </x:c>
    </x:row>
    <x:row r="8">
      <x:c r="A8" s="143" t="str">
        <x:v>成本原则</x:v>
      </x:c>
      <x:c r="B8" s="91" t="str">
        <x:v>不只看每百万 Token：应比较总模型费 + 检索/工具/多模态 + 失败重试 + 人工复核，再除以通过业务验收的有效结果数。</x:v>
      </x:c>
    </x:row>
    <x:row r="9">
      <x:c r="A9" s="143" t="str">
        <x:v>建议措辞</x:v>
      </x:c>
      <x:c r="B9" s="91" t="str">
        <x:v>“便宜且表现好”应写为：截至某日，在指定任务、同配置和同流量下，A 的业务通过率为 X、单位有效结果成本为 Y；结论不外推其他任务。</x:v>
      </x:c>
    </x:row>
    <x:row r="10">
      <x:c r="A10" s="144" t="str">
        <x:v>更新提示</x:v>
      </x:c>
      <x:c r="B10" s="94" t="str">
        <x:v>模型与价格在 2026 年变化极快；采购、上线或预算评审前，应打开价格来源列重新核验，并固定模型快照/区域/服务档位。</x:v>
      </x:c>
    </x:row>
    <x:row r="12">
      <x:c r="A12" s="145" t="str">
        <x:v>类别</x:v>
      </x:c>
      <x:c r="B12" s="145" t="str">
        <x:v>厂商/对象</x:v>
      </x:c>
      <x:c r="C12" s="145" t="str">
        <x:v>支持内容</x:v>
      </x:c>
      <x:c r="D12" s="145" t="str">
        <x:v>URL</x:v>
      </x:c>
      <x:c r="E12" s="145" t="str">
        <x:v>查询日</x:v>
      </x:c>
      <x:c r="F12" s="145" t="str">
        <x:v>证据/备注</x:v>
      </x:c>
    </x:row>
    <x:row r="13">
      <x:c r="A13" s="87" t="str">
        <x:v>厂商/产品</x:v>
      </x:c>
      <x:c r="B13" s="88" t="str">
        <x:v>OpenAI</x:v>
      </x:c>
      <x:c r="C13" s="88" t="str">
        <x:v>官网、当前产品与模型入口</x:v>
      </x:c>
      <x:c r="D13" s="95" t="str">
        <x:v>https://developers.openai.com/api/docs/models</x:v>
      </x:c>
      <x:c r="E13" s="88" t="str">
        <x:v>2026-08-24</x:v>
      </x:c>
      <x:c r="F13" s="89" t="str">
        <x:v>【公开事实】当前目录与价格按查询日快照</x:v>
      </x:c>
    </x:row>
    <x:row r="14">
      <x:c r="A14" s="90" t="str">
        <x:v>厂商/产品</x:v>
      </x:c>
      <x:c r="B14" s="64" t="str">
        <x:v>Anthropic</x:v>
      </x:c>
      <x:c r="C14" s="64" t="str">
        <x:v>官网、当前产品与模型入口</x:v>
      </x:c>
      <x:c r="D14" s="96" t="str">
        <x:v>https://platform.claude.com/docs/en/home</x:v>
      </x:c>
      <x:c r="E14" s="64" t="str">
        <x:v>2026-08-24</x:v>
      </x:c>
      <x:c r="F14" s="91" t="str">
        <x:v>【公开事实】注意缓存写入与地域溢价</x:v>
      </x:c>
    </x:row>
    <x:row r="15">
      <x:c r="A15" s="90" t="str">
        <x:v>厂商/产品</x:v>
      </x:c>
      <x:c r="B15" s="64" t="str">
        <x:v>Google DeepMind</x:v>
      </x:c>
      <x:c r="C15" s="64" t="str">
        <x:v>官网、当前产品与模型入口</x:v>
      </x:c>
      <x:c r="D15" s="96" t="str">
        <x:v>https://ai.google.dev/gemini-api/docs/models</x:v>
      </x:c>
      <x:c r="E15" s="64" t="str">
        <x:v>2026-08-24</x:v>
      </x:c>
      <x:c r="F15" s="91" t="str">
        <x:v>【公开事实】搜索/地图 Grounding 另收费</x:v>
      </x:c>
    </x:row>
    <x:row r="16">
      <x:c r="A16" s="90" t="str">
        <x:v>厂商/产品</x:v>
      </x:c>
      <x:c r="B16" s="64" t="str">
        <x:v>Meta</x:v>
      </x:c>
      <x:c r="C16" s="64" t="str">
        <x:v>官网、当前产品与模型入口</x:v>
      </x:c>
      <x:c r="D16" s="96" t="str">
        <x:v>https://ai.meta.com/llama/</x:v>
      </x:c>
      <x:c r="E16" s="64" t="str">
        <x:v>2026-08-24</x:v>
      </x:c>
      <x:c r="F16" s="91" t="str">
        <x:v>【公开事实】开放权重不等于零成本</x:v>
      </x:c>
    </x:row>
    <x:row r="17">
      <x:c r="A17" s="90" t="str">
        <x:v>厂商/产品</x:v>
      </x:c>
      <x:c r="B17" s="64" t="str">
        <x:v>xAI / SpaceXAI</x:v>
      </x:c>
      <x:c r="C17" s="64" t="str">
        <x:v>官网、当前产品与模型入口</x:v>
      </x:c>
      <x:c r="D17" s="96" t="str">
        <x:v>https://docs.x.ai/developers/models/grok-4.6</x:v>
      </x:c>
      <x:c r="E17" s="64" t="str">
        <x:v>2026-08-24</x:v>
      </x:c>
      <x:c r="F17" s="91" t="str">
        <x:v>【公开事实】长上下文与工具调用另计</x:v>
      </x:c>
    </x:row>
    <x:row r="18">
      <x:c r="A18" s="90" t="str">
        <x:v>厂商/产品</x:v>
      </x:c>
      <x:c r="B18" s="64" t="str">
        <x:v>Mistral AI</x:v>
      </x:c>
      <x:c r="C18" s="64" t="str">
        <x:v>官网、当前产品与模型入口</x:v>
      </x:c>
      <x:c r="D18" s="96" t="str">
        <x:v>https://docs.mistral.ai/models</x:v>
      </x:c>
      <x:c r="E18" s="64" t="str">
        <x:v>2026-08-24</x:v>
      </x:c>
      <x:c r="F18" s="91" t="str">
        <x:v>【公开事实】兼顾 API 与权重部署</x:v>
      </x:c>
    </x:row>
    <x:row r="19">
      <x:c r="A19" s="90" t="str">
        <x:v>厂商/产品</x:v>
      </x:c>
      <x:c r="B19" s="64" t="str">
        <x:v>Cohere</x:v>
      </x:c>
      <x:c r="C19" s="64" t="str">
        <x:v>官网、当前产品与模型入口</x:v>
      </x:c>
      <x:c r="D19" s="96" t="str">
        <x:v>https://docs.cohere.com/docs/models</x:v>
      </x:c>
      <x:c r="E19" s="64" t="str">
        <x:v>2026-08-24</x:v>
      </x:c>
      <x:c r="F19" s="91" t="str">
        <x:v>【公开事实】适合把生成与检索组件组合评测</x:v>
      </x:c>
    </x:row>
    <x:row r="20">
      <x:c r="A20" s="90" t="str">
        <x:v>厂商/产品</x:v>
      </x:c>
      <x:c r="B20" s="64" t="str">
        <x:v>Amazon / AWS</x:v>
      </x:c>
      <x:c r="C20" s="64" t="str">
        <x:v>官网、当前产品与模型入口</x:v>
      </x:c>
      <x:c r="D20" s="96" t="str">
        <x:v>https://aws.amazon.com/bedrock/</x:v>
      </x:c>
      <x:c r="E20" s="64" t="str">
        <x:v>2026-08-24</x:v>
      </x:c>
      <x:c r="F20" s="91" t="str">
        <x:v>【公开事实】Bedrock 案例常使用第三方底模</x:v>
      </x:c>
    </x:row>
    <x:row r="21">
      <x:c r="A21" s="90" t="str">
        <x:v>厂商/产品</x:v>
      </x:c>
      <x:c r="B21" s="64" t="str">
        <x:v>Microsoft（Phi/MAI）</x:v>
      </x:c>
      <x:c r="C21" s="64" t="str">
        <x:v>官网、当前产品与模型入口</x:v>
      </x:c>
      <x:c r="D21" s="96" t="str">
        <x:v>https://microsoft.ai/news/introducing-mai-1-preview-and-mai-voice-1/</x:v>
      </x:c>
      <x:c r="E21" s="64" t="str">
        <x:v>2026-08-24</x:v>
      </x:c>
      <x:c r="F21" s="91" t="str">
        <x:v>【公开事实】MAI 生产 API 价未统一公开</x:v>
      </x:c>
    </x:row>
    <x:row r="22">
      <x:c r="A22" s="90" t="str">
        <x:v>厂商/产品</x:v>
      </x:c>
      <x:c r="B22" s="64" t="str">
        <x:v>NVIDIA（Nemotron）</x:v>
      </x:c>
      <x:c r="C22" s="64" t="str">
        <x:v>官网、当前产品与模型入口</x:v>
      </x:c>
      <x:c r="D22" s="96" t="str">
        <x:v>https://www.nvidia.com/en-us/ai-data-science/foundation-models/nemotron/</x:v>
      </x:c>
      <x:c r="E22" s="64" t="str">
        <x:v>2026-08-24</x:v>
      </x:c>
      <x:c r="F22" s="91" t="str">
        <x:v>【公开事实】应测算 GPU 利用率与运维 TCO</x:v>
      </x:c>
    </x:row>
    <x:row r="23">
      <x:c r="A23" s="90" t="str">
        <x:v>厂商/产品</x:v>
      </x:c>
      <x:c r="B23" s="64" t="str">
        <x:v>阿里云 / 通义千问 Qwen</x:v>
      </x:c>
      <x:c r="C23" s="64" t="str">
        <x:v>官网、当前产品与模型入口</x:v>
      </x:c>
      <x:c r="D23" s="96" t="str">
        <x:v>https://qwenlm.github.io/</x:v>
      </x:c>
      <x:c r="E23" s="64" t="str">
        <x:v>2026-08-24</x:v>
      </x:c>
      <x:c r="F23" s="91" t="str">
        <x:v>【公开事实】上下文长度会触发阶梯价</x:v>
      </x:c>
    </x:row>
    <x:row r="24">
      <x:c r="A24" s="90" t="str">
        <x:v>厂商/产品</x:v>
      </x:c>
      <x:c r="B24" s="64" t="str">
        <x:v>百度 / 文心 ERNIE</x:v>
      </x:c>
      <x:c r="C24" s="64" t="str">
        <x:v>官网、当前产品与模型入口</x:v>
      </x:c>
      <x:c r="D24" s="96" t="str">
        <x:v>https://cloud.baidu.com/product-s/qianfan_home</x:v>
      </x:c>
      <x:c r="E24" s="64" t="str">
        <x:v>2026-08-24</x:v>
      </x:c>
      <x:c r="F24" s="91" t="str">
        <x:v>【公开事实】千帆还托管第三方模型</x:v>
      </x:c>
    </x:row>
    <x:row r="25">
      <x:c r="A25" s="90" t="str">
        <x:v>厂商/产品</x:v>
      </x:c>
      <x:c r="B25" s="64" t="str">
        <x:v>字节跳动 / 豆包 Seed</x:v>
      </x:c>
      <x:c r="C25" s="64" t="str">
        <x:v>官网、当前产品与模型入口</x:v>
      </x:c>
      <x:c r="D25" s="96" t="str">
        <x:v>https://seed.bytedance.com/</x:v>
      </x:c>
      <x:c r="E25" s="64" t="str">
        <x:v>2026-08-24</x:v>
      </x:c>
      <x:c r="F25" s="91" t="str">
        <x:v>【公开事实】活动/节省计划价需与刊例价分开</x:v>
      </x:c>
    </x:row>
    <x:row r="26">
      <x:c r="A26" s="90" t="str">
        <x:v>厂商/产品</x:v>
      </x:c>
      <x:c r="B26" s="64" t="str">
        <x:v>腾讯 / 混元 Hy</x:v>
      </x:c>
      <x:c r="C26" s="64" t="str">
        <x:v>官网、当前产品与模型入口</x:v>
      </x:c>
      <x:c r="D26" s="96" t="str">
        <x:v>https://cloud.tencent.com/product/tokenhub</x:v>
      </x:c>
      <x:c r="E26" s="64" t="str">
        <x:v>2026-08-24</x:v>
      </x:c>
      <x:c r="F26" s="91" t="str">
        <x:v>【公开事实】原混元售卖入口逐步迁移 TokenHub</x:v>
      </x:c>
    </x:row>
    <x:row r="27">
      <x:c r="A27" s="90" t="str">
        <x:v>厂商/产品</x:v>
      </x:c>
      <x:c r="B27" s="64" t="str">
        <x:v>智谱 AI / GLM</x:v>
      </x:c>
      <x:c r="C27" s="64" t="str">
        <x:v>官网、当前产品与模型入口</x:v>
      </x:c>
      <x:c r="D27" s="96" t="str">
        <x:v>https://docs.bigmodel.cn/cn/guide/start/model-overview</x:v>
      </x:c>
      <x:c r="E27" s="64" t="str">
        <x:v>2026-08-24</x:v>
      </x:c>
      <x:c r="F27" s="91" t="str">
        <x:v>【公开事实】免费模型受配额/稳定性条件限制</x:v>
      </x:c>
    </x:row>
    <x:row r="28">
      <x:c r="A28" s="90" t="str">
        <x:v>厂商/产品</x:v>
      </x:c>
      <x:c r="B28" s="64" t="str">
        <x:v>DeepSeek</x:v>
      </x:c>
      <x:c r="C28" s="64" t="str">
        <x:v>官网、当前产品与模型入口</x:v>
      </x:c>
      <x:c r="D28" s="96" t="str">
        <x:v>https://api-docs.deepseek.com/</x:v>
      </x:c>
      <x:c r="E28" s="64" t="str">
        <x:v>2026-08-24</x:v>
      </x:c>
      <x:c r="F28" s="91" t="str">
        <x:v>【公开事实】缓存命中价格极低但不能假设必定命中</x:v>
      </x:c>
    </x:row>
    <x:row r="29">
      <x:c r="A29" s="90" t="str">
        <x:v>厂商/产品</x:v>
      </x:c>
      <x:c r="B29" s="64" t="str">
        <x:v>月之暗面 / Kimi</x:v>
      </x:c>
      <x:c r="C29" s="64" t="str">
        <x:v>官网、当前产品与模型入口</x:v>
      </x:c>
      <x:c r="D29" s="96" t="str">
        <x:v>https://platform.kimi.com/</x:v>
      </x:c>
      <x:c r="E29" s="64" t="str">
        <x:v>2026-08-24</x:v>
      </x:c>
      <x:c r="F29" s="91" t="str">
        <x:v>【公开事实】国内外 API 币种与价格页可能不同</x:v>
      </x:c>
    </x:row>
    <x:row r="30">
      <x:c r="A30" s="90" t="str">
        <x:v>厂商/产品</x:v>
      </x:c>
      <x:c r="B30" s="64" t="str">
        <x:v>MiniMax</x:v>
      </x:c>
      <x:c r="C30" s="64" t="str">
        <x:v>官网、当前产品与模型入口</x:v>
      </x:c>
      <x:c r="D30" s="96" t="str">
        <x:v>https://platform.minimaxi.com/docs/guides/pricing-paygo</x:v>
      </x:c>
      <x:c r="E30" s="64" t="str">
        <x:v>2026-08-24</x:v>
      </x:c>
      <x:c r="F30" s="91" t="str">
        <x:v>【公开事实】高速版、订阅与按量不可直接横比</x:v>
      </x:c>
    </x:row>
    <x:row r="31">
      <x:c r="A31" s="90" t="str">
        <x:v>厂商/产品</x:v>
      </x:c>
      <x:c r="B31" s="64" t="str">
        <x:v>科大讯飞 / 星火</x:v>
      </x:c>
      <x:c r="C31" s="64" t="str">
        <x:v>官网、当前产品与模型入口</x:v>
      </x:c>
      <x:c r="D31" s="96" t="str">
        <x:v>https://xinghuo.xfyun.cn/</x:v>
      </x:c>
      <x:c r="E31" s="64" t="str">
        <x:v>2026-08-24</x:v>
      </x:c>
      <x:c r="F31" s="91" t="str">
        <x:v>【公开事实】语音还需按分钟/字符计费</x:v>
      </x:c>
    </x:row>
    <x:row r="32">
      <x:c r="A32" s="90" t="str">
        <x:v>厂商/产品</x:v>
      </x:c>
      <x:c r="B32" s="64" t="str">
        <x:v>华为云 / 盘古</x:v>
      </x:c>
      <x:c r="C32" s="64" t="str">
        <x:v>官网、当前产品与模型入口</x:v>
      </x:c>
      <x:c r="D32" s="96" t="str">
        <x:v>https://www.huaweicloud.com/product/pangu.html</x:v>
      </x:c>
      <x:c r="E32" s="64" t="str">
        <x:v>2026-08-24</x:v>
      </x:c>
      <x:c r="F32" s="91" t="str">
        <x:v>【公开事实】不宜与公共 API 单价直接比较</x:v>
      </x:c>
    </x:row>
    <x:row r="33">
      <x:c r="A33" s="90" t="str">
        <x:v>厂商/产品</x:v>
      </x:c>
      <x:c r="B33" s="64" t="str">
        <x:v>商汤 / 日日新 SenseNova</x:v>
      </x:c>
      <x:c r="C33" s="64" t="str">
        <x:v>官网、当前产品与模型入口</x:v>
      </x:c>
      <x:c r="D33" s="96" t="str">
        <x:v>https://platform.sensenova.cn/product/APIService/pricing</x:v>
      </x:c>
      <x:c r="E33" s="64" t="str">
        <x:v>2026-08-24</x:v>
      </x:c>
      <x:c r="F33" s="91" t="str">
        <x:v>【公开事实】需区分通用、推理和多模态模型</x:v>
      </x:c>
    </x:row>
    <x:row r="34">
      <x:c r="A34" s="90" t="str">
        <x:v>厂商/产品</x:v>
      </x:c>
      <x:c r="B34" s="64" t="str">
        <x:v>阶跃星辰 StepFun</x:v>
      </x:c>
      <x:c r="C34" s="64" t="str">
        <x:v>官网、当前产品与模型入口</x:v>
      </x:c>
      <x:c r="D34" s="96" t="str">
        <x:v>https://platform.stepfun.com/docs/zh/guides/pricing/details</x:v>
      </x:c>
      <x:c r="E34" s="64" t="str">
        <x:v>2026-08-24</x:v>
      </x:c>
      <x:c r="F34" s="91" t="str">
        <x:v>【公开事实】具体模型可用性以平台目录为准</x:v>
      </x:c>
    </x:row>
    <x:row r="35">
      <x:c r="A35" s="90" t="str">
        <x:v>厂商/产品</x:v>
      </x:c>
      <x:c r="B35" s="64" t="str">
        <x:v>百川智能</x:v>
      </x:c>
      <x:c r="C35" s="64" t="str">
        <x:v>官网、当前产品与模型入口</x:v>
      </x:c>
      <x:c r="D35" s="96" t="str">
        <x:v>https://platform.baichuan-ai.com/prices</x:v>
      </x:c>
      <x:c r="E35" s="64" t="str">
        <x:v>2026-08-24</x:v>
      </x:c>
      <x:c r="F35" s="91" t="str">
        <x:v>【公开事实】垂直医疗需额外验证合规与临床边界</x:v>
      </x:c>
    </x:row>
    <x:row r="36">
      <x:c r="A36" s="90" t="str">
        <x:v>厂商/产品</x:v>
      </x:c>
      <x:c r="B36" s="64" t="str">
        <x:v>零一万物 / Yi</x:v>
      </x:c>
      <x:c r="C36" s="64" t="str">
        <x:v>官网、当前产品与模型入口</x:v>
      </x:c>
      <x:c r="D36" s="96" t="str">
        <x:v>https://github.com/01-ai/Yi</x:v>
      </x:c>
      <x:c r="E36" s="64" t="str">
        <x:v>2026-08-24</x:v>
      </x:c>
      <x:c r="F36" s="91" t="str">
        <x:v>【公开事实】2025-2026 新基座时间线待验证</x:v>
      </x:c>
    </x:row>
    <x:row r="37">
      <x:c r="A37" s="90" t="str">
        <x:v>模型时间轴</x:v>
      </x:c>
      <x:c r="B37" s="64" t="str">
        <x:v>OpenAI</x:v>
      </x:c>
      <x:c r="C37" s="64" t="str">
        <x:v>2023-03 / 11 GPT-4；GPT-4 Turbo</x:v>
      </x:c>
      <x:c r="D37" s="96" t="str">
        <x:v>https://openai.com/index/gpt-4-research/</x:v>
      </x:c>
      <x:c r="E37" s="64" t="str">
        <x:v>2026-08-24</x:v>
      </x:c>
      <x:c r="F37" s="91" t="str">
        <x:v>【公开事实】</x:v>
      </x:c>
    </x:row>
    <x:row r="38">
      <x:c r="A38" s="90" t="str">
        <x:v>模型时间轴</x:v>
      </x:c>
      <x:c r="B38" s="64" t="str">
        <x:v>OpenAI</x:v>
      </x:c>
      <x:c r="C38" s="64" t="str">
        <x:v>2024-05 / 09 GPT-4o；o1-preview</x:v>
      </x:c>
      <x:c r="D38" s="96" t="str">
        <x:v>https://openai.com/index/hello-gpt-4o/</x:v>
      </x:c>
      <x:c r="E38" s="64" t="str">
        <x:v>2026-08-24</x:v>
      </x:c>
      <x:c r="F38" s="91" t="str">
        <x:v>【公开事实】</x:v>
      </x:c>
    </x:row>
    <x:row r="39">
      <x:c r="A39" s="90" t="str">
        <x:v>模型时间轴</x:v>
      </x:c>
      <x:c r="B39" s="64" t="str">
        <x:v>OpenAI</x:v>
      </x:c>
      <x:c r="C39" s="64" t="str">
        <x:v>2025-08 GPT-5 系列</x:v>
      </x:c>
      <x:c r="D39" s="96" t="str">
        <x:v>https://developers.openai.com/api/docs/models/gpt-5</x:v>
      </x:c>
      <x:c r="E39" s="64" t="str">
        <x:v>2026-08-24</x:v>
      </x:c>
      <x:c r="F39" s="91" t="str">
        <x:v>【公开事实】</x:v>
      </x:c>
    </x:row>
    <x:row r="40">
      <x:c r="A40" s="90" t="str">
        <x:v>模型时间轴</x:v>
      </x:c>
      <x:c r="B40" s="64" t="str">
        <x:v>OpenAI</x:v>
      </x:c>
      <x:c r="C40" s="64" t="str">
        <x:v>2026-06 / 07 GPT-5.6 Sol / Terra / Luna</x:v>
      </x:c>
      <x:c r="D40" s="96" t="str">
        <x:v>https://openai.com/index/gpt-5-6/</x:v>
      </x:c>
      <x:c r="E40" s="64" t="str">
        <x:v>2026-08-24</x:v>
      </x:c>
      <x:c r="F40" s="91" t="str">
        <x:v>【公开事实】</x:v>
      </x:c>
    </x:row>
    <x:row r="41">
      <x:c r="A41" s="90" t="str">
        <x:v>模型时间轴</x:v>
      </x:c>
      <x:c r="B41" s="64" t="str">
        <x:v>Anthropic</x:v>
      </x:c>
      <x:c r="C41" s="64" t="str">
        <x:v>2023-03 / 07 / 11 Claude；Claude 2 / 2.1</x:v>
      </x:c>
      <x:c r="D41" s="96" t="str">
        <x:v>https://www.anthropic.com/news/claude-2</x:v>
      </x:c>
      <x:c r="E41" s="64" t="str">
        <x:v>2026-08-24</x:v>
      </x:c>
      <x:c r="F41" s="91" t="str">
        <x:v>【公开事实】</x:v>
      </x:c>
    </x:row>
    <x:row r="42">
      <x:c r="A42" s="90" t="str">
        <x:v>模型时间轴</x:v>
      </x:c>
      <x:c r="B42" s="64" t="str">
        <x:v>Anthropic</x:v>
      </x:c>
      <x:c r="C42" s="64" t="str">
        <x:v>2024-03 / 06 Claude 3；Claude 3.5 Sonnet</x:v>
      </x:c>
      <x:c r="D42" s="96" t="str">
        <x:v>https://www.anthropic.com/news/claude-3-family</x:v>
      </x:c>
      <x:c r="E42" s="64" t="str">
        <x:v>2026-08-24</x:v>
      </x:c>
      <x:c r="F42" s="91" t="str">
        <x:v>【公开事实】</x:v>
      </x:c>
    </x:row>
    <x:row r="43">
      <x:c r="A43" s="90" t="str">
        <x:v>模型时间轴</x:v>
      </x:c>
      <x:c r="B43" s="64" t="str">
        <x:v>Anthropic</x:v>
      </x:c>
      <x:c r="C43" s="64" t="str">
        <x:v>2025-05 Claude 4 系列</x:v>
      </x:c>
      <x:c r="D43" s="96" t="str">
        <x:v>https://www.anthropic.com/news/claude-4</x:v>
      </x:c>
      <x:c r="E43" s="64" t="str">
        <x:v>2026-08-24</x:v>
      </x:c>
      <x:c r="F43" s="91" t="str">
        <x:v>【公开事实】</x:v>
      </x:c>
    </x:row>
    <x:row r="44">
      <x:c r="A44" s="90" t="str">
        <x:v>模型时间轴</x:v>
      </x:c>
      <x:c r="B44" s="64" t="str">
        <x:v>Anthropic</x:v>
      </x:c>
      <x:c r="C44" s="64" t="str">
        <x:v>2026-06 / 07 Claude Sonnet 5 / Opus 5 / Fable 5</x:v>
      </x:c>
      <x:c r="D44" s="96" t="str">
        <x:v>https://platform.claude.com/docs/en/release-notes/overview</x:v>
      </x:c>
      <x:c r="E44" s="64" t="str">
        <x:v>2026-08-24</x:v>
      </x:c>
      <x:c r="F44" s="91" t="str">
        <x:v>【公开事实】</x:v>
      </x:c>
    </x:row>
    <x:row r="45">
      <x:c r="A45" s="90" t="str">
        <x:v>模型时间轴</x:v>
      </x:c>
      <x:c r="B45" s="64" t="str">
        <x:v>Google DeepMind</x:v>
      </x:c>
      <x:c r="C45" s="64" t="str">
        <x:v>2023-12 Gemini 1.0；Gemini Nano</x:v>
      </x:c>
      <x:c r="D45" s="96" t="str">
        <x:v>https://blog.google/technology/ai/google-gemini-ai/</x:v>
      </x:c>
      <x:c r="E45" s="64" t="str">
        <x:v>2026-08-24</x:v>
      </x:c>
      <x:c r="F45" s="91" t="str">
        <x:v>【公开事实】</x:v>
      </x:c>
    </x:row>
    <x:row r="46">
      <x:c r="A46" s="90" t="str">
        <x:v>模型时间轴</x:v>
      </x:c>
      <x:c r="B46" s="64" t="str">
        <x:v>Google DeepMind</x:v>
      </x:c>
      <x:c r="C46" s="64" t="str">
        <x:v>2024-02 / 12 Gemini 1.5；Gemini 2.0</x:v>
      </x:c>
      <x:c r="D46" s="96" t="str">
        <x:v>https://blog.google/technology/ai/google-gemini-next-generation-model-february-2024/</x:v>
      </x:c>
      <x:c r="E46" s="64" t="str">
        <x:v>2026-08-24</x:v>
      </x:c>
      <x:c r="F46" s="91" t="str">
        <x:v>【公开事实】</x:v>
      </x:c>
    </x:row>
    <x:row r="47">
      <x:c r="A47" s="90" t="str">
        <x:v>模型时间轴</x:v>
      </x:c>
      <x:c r="B47" s="64" t="str">
        <x:v>Google DeepMind</x:v>
      </x:c>
      <x:c r="C47" s="64" t="str">
        <x:v>2026-08 Gemini 3.7 Flash；3.5 Flash-Lite</x:v>
      </x:c>
      <x:c r="D47" s="96" t="str">
        <x:v>https://ai.google.dev/gemini-api/docs/latest-model</x:v>
      </x:c>
      <x:c r="E47" s="64" t="str">
        <x:v>2026-08-24</x:v>
      </x:c>
      <x:c r="F47" s="91" t="str">
        <x:v>【公开事实】</x:v>
      </x:c>
    </x:row>
    <x:row r="48">
      <x:c r="A48" s="90" t="str">
        <x:v>模型时间轴</x:v>
      </x:c>
      <x:c r="B48" s="64" t="str">
        <x:v>Meta</x:v>
      </x:c>
      <x:c r="C48" s="64" t="str">
        <x:v>2023-07 Llama 2</x:v>
      </x:c>
      <x:c r="D48" s="96" t="str">
        <x:v>https://ai.meta.com/blog/llama-2/</x:v>
      </x:c>
      <x:c r="E48" s="64" t="str">
        <x:v>2026-08-24</x:v>
      </x:c>
      <x:c r="F48" s="91" t="str">
        <x:v>【公开事实】</x:v>
      </x:c>
    </x:row>
    <x:row r="49">
      <x:c r="A49" s="90" t="str">
        <x:v>模型时间轴</x:v>
      </x:c>
      <x:c r="B49" s="64" t="str">
        <x:v>Meta</x:v>
      </x:c>
      <x:c r="C49" s="64" t="str">
        <x:v>2024-04 / 07 / 09 Llama 3 / 3.1 / 3.2</x:v>
      </x:c>
      <x:c r="D49" s="96" t="str">
        <x:v>https://ai.meta.com/blog/meta-llama-3-1/</x:v>
      </x:c>
      <x:c r="E49" s="64" t="str">
        <x:v>2026-08-24</x:v>
      </x:c>
      <x:c r="F49" s="91" t="str">
        <x:v>【公开事实】</x:v>
      </x:c>
    </x:row>
    <x:row r="50">
      <x:c r="A50" s="90" t="str">
        <x:v>模型时间轴</x:v>
      </x:c>
      <x:c r="B50" s="64" t="str">
        <x:v>Meta</x:v>
      </x:c>
      <x:c r="C50" s="64" t="str">
        <x:v>2025-04 Llama 4 Scout / Maverick</x:v>
      </x:c>
      <x:c r="D50" s="96" t="str">
        <x:v>https://ai.meta.com/blog/llama-4-multimodal-intelligence/</x:v>
      </x:c>
      <x:c r="E50" s="64" t="str">
        <x:v>2026-08-24</x:v>
      </x:c>
      <x:c r="F50" s="91" t="str">
        <x:v>【公开事实】</x:v>
      </x:c>
    </x:row>
    <x:row r="51">
      <x:c r="A51" s="90" t="str">
        <x:v>模型时间轴</x:v>
      </x:c>
      <x:c r="B51" s="64" t="str">
        <x:v>Meta</x:v>
      </x:c>
      <x:c r="C51" s="64" t="str">
        <x:v>2026-04 Muse Spark</x:v>
      </x:c>
      <x:c r="D51" s="96" t="str">
        <x:v>https://ai.meta.com/blog/introducing-model-meta-superintelligence-labs/</x:v>
      </x:c>
      <x:c r="E51" s="64" t="str">
        <x:v>2026-08-24</x:v>
      </x:c>
      <x:c r="F51" s="91" t="str">
        <x:v>【公开事实】</x:v>
      </x:c>
    </x:row>
    <x:row r="52">
      <x:c r="A52" s="90" t="str">
        <x:v>模型时间轴</x:v>
      </x:c>
      <x:c r="B52" s="64" t="str">
        <x:v>xAI / SpaceXAI</x:v>
      </x:c>
      <x:c r="C52" s="64" t="str">
        <x:v>2023-11 Grok 1</x:v>
      </x:c>
      <x:c r="D52" s="96" t="str">
        <x:v>https://x.ai/news/grok</x:v>
      </x:c>
      <x:c r="E52" s="64" t="str">
        <x:v>2026-08-24</x:v>
      </x:c>
      <x:c r="F52" s="91" t="str">
        <x:v>【公开事实】</x:v>
      </x:c>
    </x:row>
    <x:row r="53">
      <x:c r="A53" s="90" t="str">
        <x:v>模型时间轴</x:v>
      </x:c>
      <x:c r="B53" s="64" t="str">
        <x:v>xAI / SpaceXAI</x:v>
      </x:c>
      <x:c r="C53" s="64" t="str">
        <x:v>2024 Grok 1.5 / 2；API</x:v>
      </x:c>
      <x:c r="D53" s="96" t="str">
        <x:v>https://docs.x.ai/developers/release-notes</x:v>
      </x:c>
      <x:c r="E53" s="64" t="str">
        <x:v>2026-08-24</x:v>
      </x:c>
      <x:c r="F53" s="91" t="str">
        <x:v>【公开事实】</x:v>
      </x:c>
    </x:row>
    <x:row r="54">
      <x:c r="A54" s="90" t="str">
        <x:v>模型时间轴</x:v>
      </x:c>
      <x:c r="B54" s="64" t="str">
        <x:v>xAI / SpaceXAI</x:v>
      </x:c>
      <x:c r="C54" s="64" t="str">
        <x:v>2025-02 / 07 Grok 3 / 4</x:v>
      </x:c>
      <x:c r="D54" s="96" t="str">
        <x:v>https://x.ai/news/grok-3</x:v>
      </x:c>
      <x:c r="E54" s="64" t="str">
        <x:v>2026-08-24</x:v>
      </x:c>
      <x:c r="F54" s="91" t="str">
        <x:v>【公开事实】</x:v>
      </x:c>
    </x:row>
    <x:row r="55">
      <x:c r="A55" s="90" t="str">
        <x:v>模型时间轴</x:v>
      </x:c>
      <x:c r="B55" s="64" t="str">
        <x:v>xAI / SpaceXAI</x:v>
      </x:c>
      <x:c r="C55" s="64" t="str">
        <x:v>2026-07 / 08 Grok 4.5 / 4.6；Voice 2.0</x:v>
      </x:c>
      <x:c r="D55" s="96" t="str">
        <x:v>https://docs.x.ai/developers/grok-4-6</x:v>
      </x:c>
      <x:c r="E55" s="64" t="str">
        <x:v>2026-08-24</x:v>
      </x:c>
      <x:c r="F55" s="91" t="str">
        <x:v>【公开事实】</x:v>
      </x:c>
    </x:row>
    <x:row r="56">
      <x:c r="A56" s="90" t="str">
        <x:v>模型时间轴</x:v>
      </x:c>
      <x:c r="B56" s="64" t="str">
        <x:v>Mistral AI</x:v>
      </x:c>
      <x:c r="C56" s="64" t="str">
        <x:v>2023-09 / 12 Mistral 7B；Mixtral 8x7B</x:v>
      </x:c>
      <x:c r="D56" s="96" t="str">
        <x:v>https://mistral.ai/news/announcing-mistral-7b/</x:v>
      </x:c>
      <x:c r="E56" s="64" t="str">
        <x:v>2026-08-24</x:v>
      </x:c>
      <x:c r="F56" s="91" t="str">
        <x:v>【公开事实】</x:v>
      </x:c>
    </x:row>
    <x:row r="57">
      <x:c r="A57" s="90" t="str">
        <x:v>模型时间轴</x:v>
      </x:c>
      <x:c r="B57" s="64" t="str">
        <x:v>Mistral AI</x:v>
      </x:c>
      <x:c r="C57" s="64" t="str">
        <x:v>2024 Mistral Large；Codestral；Pixtral</x:v>
      </x:c>
      <x:c r="D57" s="96" t="str">
        <x:v>https://mistral.ai/news/</x:v>
      </x:c>
      <x:c r="E57" s="64" t="str">
        <x:v>2026-08-24</x:v>
      </x:c>
      <x:c r="F57" s="91" t="str">
        <x:v>【公开事实】</x:v>
      </x:c>
    </x:row>
    <x:row r="58">
      <x:c r="A58" s="90" t="str">
        <x:v>模型时间轴</x:v>
      </x:c>
      <x:c r="B58" s="64" t="str">
        <x:v>Mistral AI</x:v>
      </x:c>
      <x:c r="C58" s="64" t="str">
        <x:v>2026-03 / 04 / 06 Small 4；Medium 3.5；OCR 4</x:v>
      </x:c>
      <x:c r="D58" s="96" t="str">
        <x:v>https://docs.mistral.ai/inference/pricing</x:v>
      </x:c>
      <x:c r="E58" s="64" t="str">
        <x:v>2026-08-24</x:v>
      </x:c>
      <x:c r="F58" s="91" t="str">
        <x:v>【公开事实】</x:v>
      </x:c>
    </x:row>
    <x:row r="59">
      <x:c r="A59" s="90" t="str">
        <x:v>模型时间轴</x:v>
      </x:c>
      <x:c r="B59" s="64" t="str">
        <x:v>Cohere</x:v>
      </x:c>
      <x:c r="C59" s="64" t="str">
        <x:v>2024-03 / 04 Command R / R+；Aya 23</x:v>
      </x:c>
      <x:c r="D59" s="96" t="str">
        <x:v>https://cohere.com/blog/command-r</x:v>
      </x:c>
      <x:c r="E59" s="64" t="str">
        <x:v>2026-08-24</x:v>
      </x:c>
      <x:c r="F59" s="91" t="str">
        <x:v>【公开事实】</x:v>
      </x:c>
    </x:row>
    <x:row r="60">
      <x:c r="A60" s="90" t="str">
        <x:v>模型时间轴</x:v>
      </x:c>
      <x:c r="B60" s="64" t="str">
        <x:v>Cohere</x:v>
      </x:c>
      <x:c r="C60" s="64" t="str">
        <x:v>2025 Command A；Embed 4；North</x:v>
      </x:c>
      <x:c r="D60" s="96" t="str">
        <x:v>https://cohere.com/blog/command-a</x:v>
      </x:c>
      <x:c r="E60" s="64" t="str">
        <x:v>2026-08-24</x:v>
      </x:c>
      <x:c r="F60" s="91" t="str">
        <x:v>【公开事实】</x:v>
      </x:c>
    </x:row>
    <x:row r="61">
      <x:c r="A61" s="90" t="str">
        <x:v>模型时间轴</x:v>
      </x:c>
      <x:c r="B61" s="64" t="str">
        <x:v>Cohere</x:v>
      </x:c>
      <x:c r="C61" s="64" t="str">
        <x:v>2026-05 Command A+</x:v>
      </x:c>
      <x:c r="D61" s="96" t="str">
        <x:v>https://cohere.com/command</x:v>
      </x:c>
      <x:c r="E61" s="64" t="str">
        <x:v>2026-08-24</x:v>
      </x:c>
      <x:c r="F61" s="91" t="str">
        <x:v>【公开事实】</x:v>
      </x:c>
    </x:row>
    <x:row r="62">
      <x:c r="A62" s="90" t="str">
        <x:v>模型时间轴</x:v>
      </x:c>
      <x:c r="B62" s="64" t="str">
        <x:v>Amazon / AWS</x:v>
      </x:c>
      <x:c r="C62" s="64" t="str">
        <x:v>2023-09 Amazon Bedrock GA；Titan</x:v>
      </x:c>
      <x:c r="D62" s="96" t="str">
        <x:v>https://aws.amazon.com/about-aws/whats-new/2023/09/amazon-bedrock-generally-available/</x:v>
      </x:c>
      <x:c r="E62" s="64" t="str">
        <x:v>2026-08-24</x:v>
      </x:c>
      <x:c r="F62" s="91" t="str">
        <x:v>【公开事实】</x:v>
      </x:c>
    </x:row>
    <x:row r="63">
      <x:c r="A63" s="90" t="str">
        <x:v>模型时间轴</x:v>
      </x:c>
      <x:c r="B63" s="64" t="str">
        <x:v>Amazon / AWS</x:v>
      </x:c>
      <x:c r="C63" s="64" t="str">
        <x:v>2024-12 Nova Micro / Lite / Pro / Canvas / Reel</x:v>
      </x:c>
      <x:c r="D63" s="96" t="str">
        <x:v>https://www.aboutamazon.com/news/aws/amazon-nova-artificial-intelligence-bedrock-aws</x:v>
      </x:c>
      <x:c r="E63" s="64" t="str">
        <x:v>2026-08-24</x:v>
      </x:c>
      <x:c r="F63" s="91" t="str">
        <x:v>【公开事实】</x:v>
      </x:c>
    </x:row>
    <x:row r="64">
      <x:c r="A64" s="90" t="str">
        <x:v>模型时间轴</x:v>
      </x:c>
      <x:c r="B64" s="64" t="str">
        <x:v>Amazon / AWS</x:v>
      </x:c>
      <x:c r="C64" s="64" t="str">
        <x:v>2025 Nova Premier / Sonic / Act；Nova 2 Lite</x:v>
      </x:c>
      <x:c r="D64" s="96" t="str">
        <x:v>https://aws.amazon.com/blogs/aws/category/artificial-intelligence/amazon-machine-learning/amazon-bedrock/amazon-nova/</x:v>
      </x:c>
      <x:c r="E64" s="64" t="str">
        <x:v>2026-08-24</x:v>
      </x:c>
      <x:c r="F64" s="91" t="str">
        <x:v>【公开事实】</x:v>
      </x:c>
    </x:row>
    <x:row r="65">
      <x:c r="A65" s="90" t="str">
        <x:v>模型时间轴</x:v>
      </x:c>
      <x:c r="B65" s="64" t="str">
        <x:v>Amazon / AWS</x:v>
      </x:c>
      <x:c r="C65" s="64" t="str">
        <x:v>2026 Nova Forge / 自定义模型推理增强</x:v>
      </x:c>
      <x:c r="D65" s="96" t="str">
        <x:v>https://docs.aws.amazon.com/nova/latest/nova2-userguide/what-is-nova-2.html</x:v>
      </x:c>
      <x:c r="E65" s="64" t="str">
        <x:v>2026-08-24</x:v>
      </x:c>
      <x:c r="F65" s="91" t="str">
        <x:v>【公开事实】</x:v>
      </x:c>
    </x:row>
    <x:row r="66">
      <x:c r="A66" s="90" t="str">
        <x:v>模型时间轴</x:v>
      </x:c>
      <x:c r="B66" s="64" t="str">
        <x:v>Microsoft（Phi/MAI）</x:v>
      </x:c>
      <x:c r="C66" s="64" t="str">
        <x:v>2023 Phi-1 / Phi-2</x:v>
      </x:c>
      <x:c r="D66" s="96" t="str">
        <x:v>https://www.microsoft.com/en-us/research/blog/phi-2-the-surprising-power-of-small-language-models/</x:v>
      </x:c>
      <x:c r="E66" s="64" t="str">
        <x:v>2026-08-24</x:v>
      </x:c>
      <x:c r="F66" s="91" t="str">
        <x:v>【公开事实】</x:v>
      </x:c>
    </x:row>
    <x:row r="67">
      <x:c r="A67" s="90" t="str">
        <x:v>模型时间轴</x:v>
      </x:c>
      <x:c r="B67" s="64" t="str">
        <x:v>Microsoft（Phi/MAI）</x:v>
      </x:c>
      <x:c r="C67" s="64" t="str">
        <x:v>2024-04 / 08 Phi-3 / Phi-3.5 / Phi-4</x:v>
      </x:c>
      <x:c r="D67" s="96" t="str">
        <x:v>https://azure.microsoft.com/en-us/blog/introducing-phi-3-redefining-whats-possible-with-slms/</x:v>
      </x:c>
      <x:c r="E67" s="64" t="str">
        <x:v>2026-08-24</x:v>
      </x:c>
      <x:c r="F67" s="91" t="str">
        <x:v>【公开事实】</x:v>
      </x:c>
    </x:row>
    <x:row r="68">
      <x:c r="A68" s="90" t="str">
        <x:v>模型时间轴</x:v>
      </x:c>
      <x:c r="B68" s="64" t="str">
        <x:v>Microsoft（Phi/MAI）</x:v>
      </x:c>
      <x:c r="C68" s="64" t="str">
        <x:v>2026-03 Phi-4 Reasoning Vision 15B</x:v>
      </x:c>
      <x:c r="D68" s="96" t="str">
        <x:v>https://www.microsoft.com/en-us/research/wp-content/uploads/2026/03/Phi-4-reasoning-vision-15B-Tech-Report.pdf</x:v>
      </x:c>
      <x:c r="E68" s="64" t="str">
        <x:v>2026-08-24</x:v>
      </x:c>
      <x:c r="F68" s="91" t="str">
        <x:v>【公开事实】</x:v>
      </x:c>
    </x:row>
    <x:row r="69">
      <x:c r="A69" s="90" t="str">
        <x:v>模型时间轴</x:v>
      </x:c>
      <x:c r="B69" s="64" t="str">
        <x:v>NVIDIA（Nemotron）</x:v>
      </x:c>
      <x:c r="C69" s="64" t="str">
        <x:v>2023 Nemotron-3</x:v>
      </x:c>
      <x:c r="D69" s="96" t="str">
        <x:v>https://developer.nvidia.com/blog/nvidia-ai-foundation-models/</x:v>
      </x:c>
      <x:c r="E69" s="64" t="str">
        <x:v>2026-08-24</x:v>
      </x:c>
      <x:c r="F69" s="91" t="str">
        <x:v>【公开事实】</x:v>
      </x:c>
    </x:row>
    <x:row r="70">
      <x:c r="A70" s="90" t="str">
        <x:v>模型时间轴</x:v>
      </x:c>
      <x:c r="B70" s="64" t="str">
        <x:v>NVIDIA（Nemotron）</x:v>
      </x:c>
      <x:c r="C70" s="64" t="str">
        <x:v>2024 Nemotron-4 340B；Llama-3.1-Nemotron</x:v>
      </x:c>
      <x:c r="D70" s="96" t="str">
        <x:v>https://developer.nvidia.com/blog/building-nemotron-4-340b-with-nvidia-nemo/</x:v>
      </x:c>
      <x:c r="E70" s="64" t="str">
        <x:v>2026-08-24</x:v>
      </x:c>
      <x:c r="F70" s="91" t="str">
        <x:v>【公开事实】</x:v>
      </x:c>
    </x:row>
    <x:row r="71">
      <x:c r="A71" s="90" t="str">
        <x:v>模型时间轴</x:v>
      </x:c>
      <x:c r="B71" s="64" t="str">
        <x:v>NVIDIA（Nemotron）</x:v>
      </x:c>
      <x:c r="C71" s="64" t="str">
        <x:v>2025 Llama Nemotron Nano / Super / Ultra</x:v>
      </x:c>
      <x:c r="D71" s="96" t="str">
        <x:v>https://developer.nvidia.com/blog/build-enterprise-ai-agents-with-advanced-open-nvidia-llama-nemotron-reasoning-models/</x:v>
      </x:c>
      <x:c r="E71" s="64" t="str">
        <x:v>2026-08-24</x:v>
      </x:c>
      <x:c r="F71" s="91" t="str">
        <x:v>【公开事实】</x:v>
      </x:c>
    </x:row>
    <x:row r="72">
      <x:c r="A72" s="90" t="str">
        <x:v>模型时间轴</x:v>
      </x:c>
      <x:c r="B72" s="64" t="str">
        <x:v>NVIDIA（Nemotron）</x:v>
      </x:c>
      <x:c r="C72" s="64" t="str">
        <x:v>2026-03 / 06 / 08 Nemotron 3 Super / Ultra；3.5 Lightning；Nano Omni</x:v>
      </x:c>
      <x:c r="D72" s="96" t="str">
        <x:v>https://developer.nvidia.com/blog/nvidia-nemotron-3-5-lightning-delivers-fast-accurate-specialized-task-execution-for-long-running-agents/</x:v>
      </x:c>
      <x:c r="E72" s="64" t="str">
        <x:v>2026-08-24</x:v>
      </x:c>
      <x:c r="F72" s="91" t="str">
        <x:v>【公开事实】</x:v>
      </x:c>
    </x:row>
    <x:row r="73">
      <x:c r="A73" s="90" t="str">
        <x:v>模型时间轴</x:v>
      </x:c>
      <x:c r="B73" s="64" t="str">
        <x:v>阿里云 / 通义千问 Qwen</x:v>
      </x:c>
      <x:c r="C73" s="64" t="str">
        <x:v>2023-08 Qwen-7B / Qwen-VL / Qwen-Audio</x:v>
      </x:c>
      <x:c r="D73" s="96" t="str">
        <x:v>https://qwenlm.github.io/blog/qwen/</x:v>
      </x:c>
      <x:c r="E73" s="64" t="str">
        <x:v>2026-08-24</x:v>
      </x:c>
      <x:c r="F73" s="91" t="str">
        <x:v>【公开事实】</x:v>
      </x:c>
    </x:row>
    <x:row r="74">
      <x:c r="A74" s="90" t="str">
        <x:v>模型时间轴</x:v>
      </x:c>
      <x:c r="B74" s="64" t="str">
        <x:v>阿里云 / 通义千问 Qwen</x:v>
      </x:c>
      <x:c r="C74" s="64" t="str">
        <x:v>2024 Qwen1.5 / Qwen2 / Qwen2.5；Coder/VL</x:v>
      </x:c>
      <x:c r="D74" s="96" t="str">
        <x:v>https://qwenlm.github.io/blog/</x:v>
      </x:c>
      <x:c r="E74" s="64" t="str">
        <x:v>2026-08-24</x:v>
      </x:c>
      <x:c r="F74" s="91" t="str">
        <x:v>【公开事实】</x:v>
      </x:c>
    </x:row>
    <x:row r="75">
      <x:c r="A75" s="90" t="str">
        <x:v>模型时间轴</x:v>
      </x:c>
      <x:c r="B75" s="64" t="str">
        <x:v>阿里云 / 通义千问 Qwen</x:v>
      </x:c>
      <x:c r="C75" s="64" t="str">
        <x:v>2025-04 Qwen3；Qwen3-Coder</x:v>
      </x:c>
      <x:c r="D75" s="96" t="str">
        <x:v>https://qwenlm.github.io/blog/qwen3/</x:v>
      </x:c>
      <x:c r="E75" s="64" t="str">
        <x:v>2026-08-24</x:v>
      </x:c>
      <x:c r="F75" s="91" t="str">
        <x:v>【公开事实】</x:v>
      </x:c>
    </x:row>
    <x:row r="76">
      <x:c r="A76" s="90" t="str">
        <x:v>模型时间轴</x:v>
      </x:c>
      <x:c r="B76" s="64" t="str">
        <x:v>阿里云 / 通义千问 Qwen</x:v>
      </x:c>
      <x:c r="C76" s="64" t="str">
        <x:v>2026 Qwen3.5 → Qwen3.8-Max</x:v>
      </x:c>
      <x:c r="D76" s="96" t="str">
        <x:v>https://www.alibabacloud.com/en/press-room/alibaba-unveils-qwen3-8-max</x:v>
      </x:c>
      <x:c r="E76" s="64" t="str">
        <x:v>2026-08-24</x:v>
      </x:c>
      <x:c r="F76" s="91" t="str">
        <x:v>【公开事实】</x:v>
      </x:c>
    </x:row>
    <x:row r="77">
      <x:c r="A77" s="90" t="str">
        <x:v>模型时间轴</x:v>
      </x:c>
      <x:c r="B77" s="64" t="str">
        <x:v>百度 / 文心 ERNIE</x:v>
      </x:c>
      <x:c r="C77" s="64" t="str">
        <x:v>2024 ERNIE 4.0 Turbo；Speed/Lite/Tiny</x:v>
      </x:c>
      <x:c r="D77" s="96" t="str">
        <x:v>https://ai.baidu.com/ai-doc/WENXINWORKSHOP/wlwg8f1i3</x:v>
      </x:c>
      <x:c r="E77" s="64" t="str">
        <x:v>2026-08-24</x:v>
      </x:c>
      <x:c r="F77" s="91" t="str">
        <x:v>【公开事实】</x:v>
      </x:c>
    </x:row>
    <x:row r="78">
      <x:c r="A78" s="90" t="str">
        <x:v>模型时间轴</x:v>
      </x:c>
      <x:c r="B78" s="64" t="str">
        <x:v>百度 / 文心 ERNIE</x:v>
      </x:c>
      <x:c r="C78" s="64" t="str">
        <x:v>2025 ERNIE 4.5；ERNIE X1</x:v>
      </x:c>
      <x:c r="D78" s="96" t="str">
        <x:v>https://ernie.baidu.com/blog/</x:v>
      </x:c>
      <x:c r="E78" s="64" t="str">
        <x:v>2026-08-24</x:v>
      </x:c>
      <x:c r="F78" s="91" t="str">
        <x:v>【公开事实】</x:v>
      </x:c>
    </x:row>
    <x:row r="79">
      <x:c r="A79" s="90" t="str">
        <x:v>模型时间轴</x:v>
      </x:c>
      <x:c r="B79" s="64" t="str">
        <x:v>百度 / 文心 ERNIE</x:v>
      </x:c>
      <x:c r="C79" s="64" t="str">
        <x:v>2026-01 / 07 ERNIE 5.0 / 5.1</x:v>
      </x:c>
      <x:c r="D79" s="96" t="str">
        <x:v>https://cloud.baidu.cn/news/news_eacd5e1a-b6ad-4874-b920-15390d26e656</x:v>
      </x:c>
      <x:c r="E79" s="64" t="str">
        <x:v>2026-08-24</x:v>
      </x:c>
      <x:c r="F79" s="91" t="str">
        <x:v>【公开事实】</x:v>
      </x:c>
    </x:row>
    <x:row r="80">
      <x:c r="A80" s="90" t="str">
        <x:v>模型时间轴</x:v>
      </x:c>
      <x:c r="B80" s="64" t="str">
        <x:v>字节跳动 / 豆包 Seed</x:v>
      </x:c>
      <x:c r="C80" s="64" t="str">
        <x:v>2023 火山方舟上线；云雀/早期豆包模型</x:v>
      </x:c>
      <x:c r="D80" s="96" t="str">
        <x:v>https://www.volcengine.com/docs/82379/66619f8df281250274ef4f88</x:v>
      </x:c>
      <x:c r="E80" s="64" t="str">
        <x:v>2026-08-24</x:v>
      </x:c>
      <x:c r="F80" s="91" t="str">
        <x:v>【公开事实】</x:v>
      </x:c>
    </x:row>
    <x:row r="81">
      <x:c r="A81" s="90" t="str">
        <x:v>模型时间轴</x:v>
      </x:c>
      <x:c r="B81" s="64" t="str">
        <x:v>字节跳动 / 豆包 Seed</x:v>
      </x:c>
      <x:c r="C81" s="64" t="str">
        <x:v>2024-05 豆包大模型家族；扣子专业版</x:v>
      </x:c>
      <x:c r="D81" s="96" t="str">
        <x:v>https://www.volcengine.com/product/doubao</x:v>
      </x:c>
      <x:c r="E81" s="64" t="str">
        <x:v>2026-08-24</x:v>
      </x:c>
      <x:c r="F81" s="91" t="str">
        <x:v>【公开事实】</x:v>
      </x:c>
    </x:row>
    <x:row r="82">
      <x:c r="A82" s="90" t="str">
        <x:v>模型时间轴</x:v>
      </x:c>
      <x:c r="B82" s="64" t="str">
        <x:v>字节跳动 / 豆包 Seed</x:v>
      </x:c>
      <x:c r="C82" s="64" t="str">
        <x:v>2025 Seed 1.x；Seedance 1.0；Seed-OSS</x:v>
      </x:c>
      <x:c r="D82" s="96" t="str">
        <x:v>https://seed.bytedance.com/en/</x:v>
      </x:c>
      <x:c r="E82" s="64" t="str">
        <x:v>2026-08-24</x:v>
      </x:c>
      <x:c r="F82" s="91" t="str">
        <x:v>【公开事实】</x:v>
      </x:c>
    </x:row>
    <x:row r="83">
      <x:c r="A83" s="90" t="str">
        <x:v>模型时间轴</x:v>
      </x:c>
      <x:c r="B83" s="64" t="str">
        <x:v>字节跳动 / 豆包 Seed</x:v>
      </x:c>
      <x:c r="C83" s="64" t="str">
        <x:v>2026 Seed 2.0 / 2.1；Seedance 2.5；Seedream 5</x:v>
      </x:c>
      <x:c r="D83" s="96" t="str">
        <x:v>https://seed.bytedance.com/en/blog/seed2-1-officially-released-advancing-ai-productivity</x:v>
      </x:c>
      <x:c r="E83" s="64" t="str">
        <x:v>2026-08-24</x:v>
      </x:c>
      <x:c r="F83" s="91" t="str">
        <x:v>【公开事实】</x:v>
      </x:c>
    </x:row>
    <x:row r="84">
      <x:c r="A84" s="90" t="str">
        <x:v>模型时间轴</x:v>
      </x:c>
      <x:c r="B84" s="64" t="str">
        <x:v>腾讯 / 混元 Hy</x:v>
      </x:c>
      <x:c r="C84" s="64" t="str">
        <x:v>2023-09 腾讯混元</x:v>
      </x:c>
      <x:c r="D84" s="96" t="str">
        <x:v>https://cloud.tencent.com/developer/article/2325551</x:v>
      </x:c>
      <x:c r="E84" s="64" t="str">
        <x:v>2026-08-24</x:v>
      </x:c>
      <x:c r="F84" s="91" t="str">
        <x:v>【公开事实】</x:v>
      </x:c>
    </x:row>
    <x:row r="85">
      <x:c r="A85" s="90" t="str">
        <x:v>模型时间轴</x:v>
      </x:c>
      <x:c r="B85" s="64" t="str">
        <x:v>腾讯 / 混元 Hy</x:v>
      </x:c>
      <x:c r="C85" s="64" t="str">
        <x:v>2024 混元 Large / 多模态与 3D 系列</x:v>
      </x:c>
      <x:c r="D85" s="96" t="str">
        <x:v>https://cloud.tencent.com/product/hunyuan</x:v>
      </x:c>
      <x:c r="E85" s="64" t="str">
        <x:v>2026-08-24</x:v>
      </x:c>
      <x:c r="F85" s="91" t="str">
        <x:v>【公开事实】</x:v>
      </x:c>
    </x:row>
    <x:row r="86">
      <x:c r="A86" s="90" t="str">
        <x:v>模型时间轴</x:v>
      </x:c>
      <x:c r="B86" s="64" t="str">
        <x:v>腾讯 / 混元 Hy</x:v>
      </x:c>
      <x:c r="C86" s="64" t="str">
        <x:v>2025 Turbo S / T1</x:v>
      </x:c>
      <x:c r="D86" s="96" t="str">
        <x:v>https://hunyuan.tencent.com/</x:v>
      </x:c>
      <x:c r="E86" s="64" t="str">
        <x:v>2026-08-24</x:v>
      </x:c>
      <x:c r="F86" s="91" t="str">
        <x:v>【公开事实】</x:v>
      </x:c>
    </x:row>
    <x:row r="87">
      <x:c r="A87" s="90" t="str">
        <x:v>模型时间轴</x:v>
      </x:c>
      <x:c r="B87" s="64" t="str">
        <x:v>腾讯 / 混元 Hy</x:v>
      </x:c>
      <x:c r="C87" s="64" t="str">
        <x:v>2026 Hy3</x:v>
      </x:c>
      <x:c r="D87" s="96" t="str">
        <x:v>https://www.tencent.com/zh-cn/tencent-hunyuan-officially-releases-hy3-advancing-agent-capabilities-and-deeper-product-integration/</x:v>
      </x:c>
      <x:c r="E87" s="64" t="str">
        <x:v>2026-08-24</x:v>
      </x:c>
      <x:c r="F87" s="91" t="str">
        <x:v>【公开事实】</x:v>
      </x:c>
    </x:row>
    <x:row r="88">
      <x:c r="A88" s="90" t="str">
        <x:v>模型时间轴</x:v>
      </x:c>
      <x:c r="B88" s="64" t="str">
        <x:v>智谱 AI / GLM</x:v>
      </x:c>
      <x:c r="C88" s="64" t="str">
        <x:v>2023 ChatGLM2 / ChatGLM3</x:v>
      </x:c>
      <x:c r="D88" s="96" t="str">
        <x:v>https://github.com/THUDM/ChatGLM3</x:v>
      </x:c>
      <x:c r="E88" s="64" t="str">
        <x:v>2026-08-24</x:v>
      </x:c>
      <x:c r="F88" s="91" t="str">
        <x:v>【公开事实】</x:v>
      </x:c>
    </x:row>
    <x:row r="89">
      <x:c r="A89" s="90" t="str">
        <x:v>模型时间轴</x:v>
      </x:c>
      <x:c r="B89" s="64" t="str">
        <x:v>智谱 AI / GLM</x:v>
      </x:c>
      <x:c r="C89" s="64" t="str">
        <x:v>2025-07 GLM-4.5 / 4.5V</x:v>
      </x:c>
      <x:c r="D89" s="96" t="str">
        <x:v>https://docs.bigmodel.cn/cn/guide/models/text/glm-4.5</x:v>
      </x:c>
      <x:c r="E89" s="64" t="str">
        <x:v>2026-08-24</x:v>
      </x:c>
      <x:c r="F89" s="91" t="str">
        <x:v>【公开事实】</x:v>
      </x:c>
    </x:row>
    <x:row r="90">
      <x:c r="A90" s="90" t="str">
        <x:v>模型时间轴</x:v>
      </x:c>
      <x:c r="B90" s="64" t="str">
        <x:v>智谱 AI / GLM</x:v>
      </x:c>
      <x:c r="C90" s="64" t="str">
        <x:v>2026 GLM-5 / 5.1 / 5.2；GLM-5V-Turbo</x:v>
      </x:c>
      <x:c r="D90" s="96" t="str">
        <x:v>https://docs.bigmodel.cn/cn/guide/models/text/glm-5.2</x:v>
      </x:c>
      <x:c r="E90" s="64" t="str">
        <x:v>2026-08-24</x:v>
      </x:c>
      <x:c r="F90" s="91" t="str">
        <x:v>【公开事实】</x:v>
      </x:c>
    </x:row>
    <x:row r="91">
      <x:c r="A91" s="90" t="str">
        <x:v>模型时间轴</x:v>
      </x:c>
      <x:c r="B91" s="64" t="str">
        <x:v>DeepSeek</x:v>
      </x:c>
      <x:c r="C91" s="64" t="str">
        <x:v>2023-11 DeepSeek Coder / LLM</x:v>
      </x:c>
      <x:c r="D91" s="96" t="str">
        <x:v>https://github.com/deepseek-ai</x:v>
      </x:c>
      <x:c r="E91" s="64" t="str">
        <x:v>2026-08-24</x:v>
      </x:c>
      <x:c r="F91" s="91" t="str">
        <x:v>【公开事实】</x:v>
      </x:c>
    </x:row>
    <x:row r="92">
      <x:c r="A92" s="90" t="str">
        <x:v>模型时间轴</x:v>
      </x:c>
      <x:c r="B92" s="64" t="str">
        <x:v>DeepSeek</x:v>
      </x:c>
      <x:c r="C92" s="64" t="str">
        <x:v>2024-05 / 12 DeepSeek V2 / V2.5 / V3</x:v>
      </x:c>
      <x:c r="D92" s="96" t="str">
        <x:v>https://api-docs.deepseek.com/news/news1226/</x:v>
      </x:c>
      <x:c r="E92" s="64" t="str">
        <x:v>2026-08-24</x:v>
      </x:c>
      <x:c r="F92" s="91" t="str">
        <x:v>【公开事实】</x:v>
      </x:c>
    </x:row>
    <x:row r="93">
      <x:c r="A93" s="90" t="str">
        <x:v>模型时间轴</x:v>
      </x:c>
      <x:c r="B93" s="64" t="str">
        <x:v>DeepSeek</x:v>
      </x:c>
      <x:c r="C93" s="64" t="str">
        <x:v>2025-01 / 12 DeepSeek R1；V3.1 / V3.2</x:v>
      </x:c>
      <x:c r="D93" s="96" t="str">
        <x:v>https://github.com/deepseek-ai/DeepSeek-R1</x:v>
      </x:c>
      <x:c r="E93" s="64" t="str">
        <x:v>2026-08-24</x:v>
      </x:c>
      <x:c r="F93" s="91" t="str">
        <x:v>【公开事实】</x:v>
      </x:c>
    </x:row>
    <x:row r="94">
      <x:c r="A94" s="90" t="str">
        <x:v>模型时间轴</x:v>
      </x:c>
      <x:c r="B94" s="64" t="str">
        <x:v>DeepSeek</x:v>
      </x:c>
      <x:c r="C94" s="64" t="str">
        <x:v>2026-04 DeepSeek V4 Pro / Flash</x:v>
      </x:c>
      <x:c r="D94" s="96" t="str">
        <x:v>https://api-docs.deepseek.com/news/news260424</x:v>
      </x:c>
      <x:c r="E94" s="64" t="str">
        <x:v>2026-08-24</x:v>
      </x:c>
      <x:c r="F94" s="91" t="str">
        <x:v>【公开事实】</x:v>
      </x:c>
    </x:row>
    <x:row r="95">
      <x:c r="A95" s="90" t="str">
        <x:v>模型时间轴</x:v>
      </x:c>
      <x:c r="B95" s="64" t="str">
        <x:v>月之暗面 / Kimi</x:v>
      </x:c>
      <x:c r="C95" s="64" t="str">
        <x:v>2023-10 Kimi 智能助手 / Moonshot V1</x:v>
      </x:c>
      <x:c r="D95" s="96" t="str">
        <x:v>https://www.moonshot.ai/</x:v>
      </x:c>
      <x:c r="E95" s="64" t="str">
        <x:v>2026-08-24</x:v>
      </x:c>
      <x:c r="F95" s="91" t="str">
        <x:v>【公开事实】</x:v>
      </x:c>
    </x:row>
    <x:row r="96">
      <x:c r="A96" s="90" t="str">
        <x:v>模型时间轴</x:v>
      </x:c>
      <x:c r="B96" s="64" t="str">
        <x:v>月之暗面 / Kimi</x:v>
      </x:c>
      <x:c r="C96" s="64" t="str">
        <x:v>2024 128K/长上下文与 Context Caching</x:v>
      </x:c>
      <x:c r="D96" s="96" t="str">
        <x:v>https://platform.kimi.com/blog/posts/context-caching</x:v>
      </x:c>
      <x:c r="E96" s="64" t="str">
        <x:v>2026-08-24</x:v>
      </x:c>
      <x:c r="F96" s="91" t="str">
        <x:v>【公开事实】</x:v>
      </x:c>
    </x:row>
    <x:row r="97">
      <x:c r="A97" s="90" t="str">
        <x:v>模型时间轴</x:v>
      </x:c>
      <x:c r="B97" s="64" t="str">
        <x:v>月之暗面 / Kimi</x:v>
      </x:c>
      <x:c r="C97" s="64" t="str">
        <x:v>2025 Kimi K2 / K2 Thinking</x:v>
      </x:c>
      <x:c r="D97" s="96" t="str">
        <x:v>https://platform.kimi.com/docs/pricing/chat</x:v>
      </x:c>
      <x:c r="E97" s="64" t="str">
        <x:v>2026-08-24</x:v>
      </x:c>
      <x:c r="F97" s="91" t="str">
        <x:v>【公开事实】</x:v>
      </x:c>
    </x:row>
    <x:row r="98">
      <x:c r="A98" s="90" t="str">
        <x:v>模型时间轴</x:v>
      </x:c>
      <x:c r="B98" s="64" t="str">
        <x:v>月之暗面 / Kimi</x:v>
      </x:c>
      <x:c r="C98" s="64" t="str">
        <x:v>2026-01 / 07 K2.5；Kimi K3</x:v>
      </x:c>
      <x:c r="D98" s="96" t="str">
        <x:v>https://forum.moonshot.ai/t/kimi-k3-is-here-our-most-capable-model/480</x:v>
      </x:c>
      <x:c r="E98" s="64" t="str">
        <x:v>2026-08-24</x:v>
      </x:c>
      <x:c r="F98" s="91" t="str">
        <x:v>【公开事实】</x:v>
      </x:c>
    </x:row>
    <x:row r="99">
      <x:c r="A99" s="90" t="str">
        <x:v>模型时间轴</x:v>
      </x:c>
      <x:c r="B99" s="64" t="str">
        <x:v>MiniMax</x:v>
      </x:c>
      <x:c r="C99" s="64" t="str">
        <x:v>2023 abab 系列；角色/语音与全球消费产品</x:v>
      </x:c>
      <x:c r="D99" s="96" t="str">
        <x:v>https://www.minimax.io/</x:v>
      </x:c>
      <x:c r="E99" s="64" t="str">
        <x:v>2026-08-24</x:v>
      </x:c>
      <x:c r="F99" s="91" t="str">
        <x:v>【公开事实】</x:v>
      </x:c>
    </x:row>
    <x:row r="100">
      <x:c r="A100" s="90" t="str">
        <x:v>模型时间轴</x:v>
      </x:c>
      <x:c r="B100" s="64" t="str">
        <x:v>MiniMax</x:v>
      </x:c>
      <x:c r="C100" s="64" t="str">
        <x:v>2024 abab 6.x；海螺视频/语音</x:v>
      </x:c>
      <x:c r="D100" s="96" t="str">
        <x:v>https://www.minimax.io/news</x:v>
      </x:c>
      <x:c r="E100" s="64" t="str">
        <x:v>2026-08-24</x:v>
      </x:c>
      <x:c r="F100" s="91" t="str">
        <x:v>【公开事实】</x:v>
      </x:c>
    </x:row>
    <x:row r="101">
      <x:c r="A101" s="90" t="str">
        <x:v>模型时间轴</x:v>
      </x:c>
      <x:c r="B101" s="64" t="str">
        <x:v>MiniMax</x:v>
      </x:c>
      <x:c r="C101" s="64" t="str">
        <x:v>2025-01 / 06 / 10 MiniMax-01；M1；M2/M2.1</x:v>
      </x:c>
      <x:c r="D101" s="96" t="str">
        <x:v>https://www.minimax.io/news/minimax-01-series-2</x:v>
      </x:c>
      <x:c r="E101" s="64" t="str">
        <x:v>2026-08-24</x:v>
      </x:c>
      <x:c r="F101" s="91" t="str">
        <x:v>【公开事实】</x:v>
      </x:c>
    </x:row>
    <x:row r="102">
      <x:c r="A102" s="90" t="str">
        <x:v>模型时间轴</x:v>
      </x:c>
      <x:c r="B102" s="64" t="str">
        <x:v>科大讯飞 / 星火</x:v>
      </x:c>
      <x:c r="C102" s="64" t="str">
        <x:v>2024 星火 V3.5 / 4.0</x:v>
      </x:c>
      <x:c r="D102" s="96" t="str">
        <x:v>https://xinghuo.xfyun.cn/news</x:v>
      </x:c>
      <x:c r="E102" s="64" t="str">
        <x:v>2026-08-24</x:v>
      </x:c>
      <x:c r="F102" s="91" t="str">
        <x:v>【公开事实】</x:v>
      </x:c>
    </x:row>
    <x:row r="103">
      <x:c r="A103" s="90" t="str">
        <x:v>模型时间轴</x:v>
      </x:c>
      <x:c r="B103" s="64" t="str">
        <x:v>科大讯飞 / 星火</x:v>
      </x:c>
      <x:c r="C103" s="64" t="str">
        <x:v>2025 星火 X1 / X1.5</x:v>
      </x:c>
      <x:c r="D103" s="96" t="str">
        <x:v>https://training.xfyun.cn/modelSquare</x:v>
      </x:c>
      <x:c r="E103" s="64" t="str">
        <x:v>2026-08-24</x:v>
      </x:c>
      <x:c r="F103" s="91" t="str">
        <x:v>【公开事实】</x:v>
      </x:c>
    </x:row>
    <x:row r="104">
      <x:c r="A104" s="90" t="str">
        <x:v>模型时间轴</x:v>
      </x:c>
      <x:c r="B104" s="64" t="str">
        <x:v>科大讯飞 / 星火</x:v>
      </x:c>
      <x:c r="C104" s="64" t="str">
        <x:v>2026 星火 X2 / X2 Flash</x:v>
      </x:c>
      <x:c r="D104" s="96" t="str">
        <x:v>https://xinghuo.xfyun.cn/sparkapi</x:v>
      </x:c>
      <x:c r="E104" s="64" t="str">
        <x:v>2026-08-24</x:v>
      </x:c>
      <x:c r="F104" s="91" t="str">
        <x:v>【公开事实】</x:v>
      </x:c>
    </x:row>
    <x:row r="105">
      <x:c r="A105" s="90" t="str">
        <x:v>模型时间轴</x:v>
      </x:c>
      <x:c r="B105" s="64" t="str">
        <x:v>华为云 / 盘古</x:v>
      </x:c>
      <x:c r="C105" s="64" t="str">
        <x:v>2023-07 盘古 3.0</x:v>
      </x:c>
      <x:c r="D105" s="96" t="str">
        <x:v>https://www.huaweicloud.com/intl/th-th/news/22313213.html</x:v>
      </x:c>
      <x:c r="E105" s="64" t="str">
        <x:v>2026-08-24</x:v>
      </x:c>
      <x:c r="F105" s="91" t="str">
        <x:v>【公开事实】</x:v>
      </x:c>
    </x:row>
    <x:row r="106">
      <x:c r="A106" s="90" t="str">
        <x:v>模型时间轴</x:v>
      </x:c>
      <x:c r="B106" s="64" t="str">
        <x:v>华为云 / 盘古</x:v>
      </x:c>
      <x:c r="C106" s="64" t="str">
        <x:v>2025-06 盘古 5.5</x:v>
      </x:c>
      <x:c r="D106" s="96" t="str">
        <x:v>https://www.huaweicloud.com/eu/news/20250620192415143.html</x:v>
      </x:c>
      <x:c r="E106" s="64" t="str">
        <x:v>2026-08-24</x:v>
      </x:c>
      <x:c r="F106" s="91" t="str">
        <x:v>【公开事实】</x:v>
      </x:c>
    </x:row>
    <x:row r="107">
      <x:c r="A107" s="90" t="str">
        <x:v>模型时间轴</x:v>
      </x:c>
      <x:c r="B107" s="64" t="str">
        <x:v>商汤 / 日日新 SenseNova</x:v>
      </x:c>
      <x:c r="C107" s="64" t="str">
        <x:v>2023-04 日日新 SenseNova</x:v>
      </x:c>
      <x:c r="D107" s="96" t="str">
        <x:v>https://www.sensetime.com/cn/news</x:v>
      </x:c>
      <x:c r="E107" s="64" t="str">
        <x:v>2026-08-24</x:v>
      </x:c>
      <x:c r="F107" s="91" t="str">
        <x:v>【公开事实】</x:v>
      </x:c>
    </x:row>
    <x:row r="108">
      <x:c r="A108" s="90" t="str">
        <x:v>模型时间轴</x:v>
      </x:c>
      <x:c r="B108" s="64" t="str">
        <x:v>商汤 / 日日新 SenseNova</x:v>
      </x:c>
      <x:c r="C108" s="64" t="str">
        <x:v>2024 SenseNova V4 / 5.x</x:v>
      </x:c>
      <x:c r="D108" s="96" t="str">
        <x:v>https://www.sensenova.cn/</x:v>
      </x:c>
      <x:c r="E108" s="64" t="str">
        <x:v>2026-08-24</x:v>
      </x:c>
      <x:c r="F108" s="91" t="str">
        <x:v>【公开事实】</x:v>
      </x:c>
    </x:row>
    <x:row r="109">
      <x:c r="A109" s="90" t="str">
        <x:v>模型时间轴</x:v>
      </x:c>
      <x:c r="B109" s="64" t="str">
        <x:v>商汤 / 日日新 SenseNova</x:v>
      </x:c>
      <x:c r="C109" s="64" t="str">
        <x:v>2025 SenseNova V6 / 6.5</x:v>
      </x:c>
      <x:c r="D109" s="96" t="str">
        <x:v>https://www.sensetime.com/cn/news/51169469</x:v>
      </x:c>
      <x:c r="E109" s="64" t="str">
        <x:v>2026-08-24</x:v>
      </x:c>
      <x:c r="F109" s="91" t="str">
        <x:v>【公开事实】</x:v>
      </x:c>
    </x:row>
    <x:row r="110">
      <x:c r="A110" s="90" t="str">
        <x:v>模型时间轴</x:v>
      </x:c>
      <x:c r="B110" s="64" t="str">
        <x:v>商汤 / 日日新 SenseNova</x:v>
      </x:c>
      <x:c r="C110" s="64" t="str">
        <x:v>2026 U1 Pro / 6.8 Flash Lite</x:v>
      </x:c>
      <x:c r="D110" s="96" t="str">
        <x:v>https://www.sensetime.com/cn/news/sensenova-6.8-flash-lite-preview</x:v>
      </x:c>
      <x:c r="E110" s="64" t="str">
        <x:v>2026-08-24</x:v>
      </x:c>
      <x:c r="F110" s="91" t="str">
        <x:v>【公开事实】</x:v>
      </x:c>
    </x:row>
    <x:row r="111">
      <x:c r="A111" s="90" t="str">
        <x:v>模型时间轴</x:v>
      </x:c>
      <x:c r="B111" s="64" t="str">
        <x:v>阶跃星辰 StepFun</x:v>
      </x:c>
      <x:c r="C111" s="64" t="str">
        <x:v>2023 公司组建与多模态基础研发</x:v>
      </x:c>
      <x:c r="D111" s="96" t="str">
        <x:v>https://www.stepfun.com/</x:v>
      </x:c>
      <x:c r="E111" s="64" t="str">
        <x:v>2026-08-24</x:v>
      </x:c>
      <x:c r="F111" s="91" t="str">
        <x:v>【公开事实】</x:v>
      </x:c>
    </x:row>
    <x:row r="112">
      <x:c r="A112" s="90" t="str">
        <x:v>模型时间轴</x:v>
      </x:c>
      <x:c r="B112" s="64" t="str">
        <x:v>阶跃星辰 StepFun</x:v>
      </x:c>
      <x:c r="C112" s="64" t="str">
        <x:v>2024 Step-1 / 1V / Step-2</x:v>
      </x:c>
      <x:c r="D112" s="96" t="str">
        <x:v>https://chat.stepfun.com/research/en/step3</x:v>
      </x:c>
      <x:c r="E112" s="64" t="str">
        <x:v>2026-08-24</x:v>
      </x:c>
      <x:c r="F112" s="91" t="str">
        <x:v>【公开事实】</x:v>
      </x:c>
    </x:row>
    <x:row r="113">
      <x:c r="A113" s="90" t="str">
        <x:v>模型时间轴</x:v>
      </x:c>
      <x:c r="B113" s="64" t="str">
        <x:v>阶跃星辰 StepFun</x:v>
      </x:c>
      <x:c r="C113" s="64" t="str">
        <x:v>2026 Step-3.5 / 3.7 Flash</x:v>
      </x:c>
      <x:c r="D113" s="96" t="str">
        <x:v>https://static.stepfun.com/blog/step-3.5-flash/</x:v>
      </x:c>
      <x:c r="E113" s="64" t="str">
        <x:v>2026-08-24</x:v>
      </x:c>
      <x:c r="F113" s="91" t="str">
        <x:v>【公开事实】</x:v>
      </x:c>
    </x:row>
    <x:row r="114">
      <x:c r="A114" s="90" t="str">
        <x:v>模型时间轴</x:v>
      </x:c>
      <x:c r="B114" s="64" t="str">
        <x:v>百川智能</x:v>
      </x:c>
      <x:c r="C114" s="64" t="str">
        <x:v>2023-06 / 09 Baichuan-7B / 13B；Baichuan2</x:v>
      </x:c>
      <x:c r="D114" s="96" t="str">
        <x:v>https://github.com/baichuan-inc/baichuan2</x:v>
      </x:c>
      <x:c r="E114" s="64" t="str">
        <x:v>2026-08-24</x:v>
      </x:c>
      <x:c r="F114" s="91" t="str">
        <x:v>【公开事实】</x:v>
      </x:c>
    </x:row>
    <x:row r="115">
      <x:c r="A115" s="90" t="str">
        <x:v>模型时间轴</x:v>
      </x:c>
      <x:c r="B115" s="64" t="str">
        <x:v>百川智能</x:v>
      </x:c>
      <x:c r="C115" s="64" t="str">
        <x:v>2024 Baichuan3 / Baichuan4</x:v>
      </x:c>
      <x:c r="D115" s="96" t="str">
        <x:v>https://www.baichuan-ai.com/</x:v>
      </x:c>
      <x:c r="E115" s="64" t="str">
        <x:v>2026-08-24</x:v>
      </x:c>
      <x:c r="F115" s="91" t="str">
        <x:v>【公开事实】</x:v>
      </x:c>
    </x:row>
    <x:row r="116">
      <x:c r="A116" s="90" t="str">
        <x:v>模型时间轴</x:v>
      </x:c>
      <x:c r="B116" s="64" t="str">
        <x:v>零一万物 / Yi</x:v>
      </x:c>
      <x:c r="C116" s="64" t="str">
        <x:v>2024 Yi-1.5；Yi-Large；Yi-Coder</x:v>
      </x:c>
      <x:c r="D116" s="96" t="str">
        <x:v>https://github.com/01-ai/Yi-Coder</x:v>
      </x:c>
      <x:c r="E116" s="64" t="str">
        <x:v>2026-08-24</x:v>
      </x:c>
      <x:c r="F116" s="91" t="str">
        <x:v>【公开事实】</x:v>
      </x:c>
    </x:row>
    <x:row r="117">
      <x:c r="A117" s="90" t="str">
        <x:v>模型时间轴</x:v>
      </x:c>
      <x:c r="B117" s="64" t="str">
        <x:v>零一万物 / Yi</x:v>
      </x:c>
      <x:c r="C117" s="64" t="str">
        <x:v>2026 未发现可核验的新一代基础模型发布</x:v>
      </x:c>
      <x:c r="D117" s="96" t="str">
        <x:v>https://github.com/01-ai</x:v>
      </x:c>
      <x:c r="E117" s="64" t="str">
        <x:v>2026-08-24</x:v>
      </x:c>
      <x:c r="F117" s="91" t="str">
        <x:v>【待验证】</x:v>
      </x:c>
    </x:row>
    <x:row r="118">
      <x:c r="A118" s="90" t="str">
        <x:v>价格</x:v>
      </x:c>
      <x:c r="B118" s="64" t="str">
        <x:v>OpenAI｜GPT-5.6 Sol</x:v>
      </x:c>
      <x:c r="C118" s="64" t="str">
        <x:v>当前价格与计费条件</x:v>
      </x:c>
      <x:c r="D118" s="96" t="str">
        <x:v>https://developers.openai.com/api/docs/models/gpt-5.6-sol</x:v>
      </x:c>
      <x:c r="E118" s="64" t="str">
        <x:v>2026-08-24</x:v>
      </x:c>
      <x:c r="F118" s="91" t="str">
        <x:v>模型页</x:v>
      </x:c>
    </x:row>
    <x:row r="119">
      <x:c r="A119" s="90" t="str">
        <x:v>价格</x:v>
      </x:c>
      <x:c r="B119" s="64" t="str">
        <x:v>OpenAI｜GPT-5.6 Terra</x:v>
      </x:c>
      <x:c r="C119" s="64" t="str">
        <x:v>当前价格与计费条件</x:v>
      </x:c>
      <x:c r="D119" s="96" t="str">
        <x:v>https://developers.openai.com/api/docs/models/gpt-5.6-terra</x:v>
      </x:c>
      <x:c r="E119" s="64" t="str">
        <x:v>2026-08-24</x:v>
      </x:c>
      <x:c r="F119" s="91" t="str">
        <x:v>模型页</x:v>
      </x:c>
    </x:row>
    <x:row r="120">
      <x:c r="A120" s="90" t="str">
        <x:v>价格</x:v>
      </x:c>
      <x:c r="B120" s="64" t="str">
        <x:v>OpenAI｜GPT-5.6 Luna</x:v>
      </x:c>
      <x:c r="C120" s="64" t="str">
        <x:v>当前价格与计费条件</x:v>
      </x:c>
      <x:c r="D120" s="96" t="str">
        <x:v>https://developers.openai.com/api/docs/models/gpt-5.6-luna</x:v>
      </x:c>
      <x:c r="E120" s="64" t="str">
        <x:v>2026-08-24</x:v>
      </x:c>
      <x:c r="F120" s="91" t="str">
        <x:v>模型页</x:v>
      </x:c>
    </x:row>
    <x:row r="121">
      <x:c r="A121" s="90" t="str">
        <x:v>价格</x:v>
      </x:c>
      <x:c r="B121" s="64" t="str">
        <x:v>Google DeepMind｜Gemini 3.7 Flash</x:v>
      </x:c>
      <x:c r="C121" s="64" t="str">
        <x:v>当前价格与计费条件</x:v>
      </x:c>
      <x:c r="D121" s="96" t="str">
        <x:v>https://ai.google.dev/gemini-api/docs/pricing</x:v>
      </x:c>
      <x:c r="E121" s="64" t="str">
        <x:v>2026-08-24</x:v>
      </x:c>
      <x:c r="F121" s="91" t="str">
        <x:v>官方价格页</x:v>
      </x:c>
    </x:row>
    <x:row r="122">
      <x:c r="A122" s="90" t="str">
        <x:v>价格</x:v>
      </x:c>
      <x:c r="B122" s="64" t="str">
        <x:v>xAI / SpaceXAI｜Grok 4.6</x:v>
      </x:c>
      <x:c r="C122" s="64" t="str">
        <x:v>当前价格与计费条件</x:v>
      </x:c>
      <x:c r="D122" s="96" t="str">
        <x:v>https://docs.x.ai/developers/pricing</x:v>
      </x:c>
      <x:c r="E122" s="64" t="str">
        <x:v>2026-08-24</x:v>
      </x:c>
      <x:c r="F122" s="91" t="str">
        <x:v>官方价格页</x:v>
      </x:c>
    </x:row>
    <x:row r="123">
      <x:c r="A123" s="90" t="str">
        <x:v>价格</x:v>
      </x:c>
      <x:c r="B123" s="64" t="str">
        <x:v>Mistral AI｜Mistral Small 4</x:v>
      </x:c>
      <x:c r="C123" s="64" t="str">
        <x:v>当前价格与计费条件</x:v>
      </x:c>
      <x:c r="D123" s="96" t="str">
        <x:v>https://docs.mistral.ai/models/mistral-small-4-0-26-03</x:v>
      </x:c>
      <x:c r="E123" s="64" t="str">
        <x:v>2026-08-24</x:v>
      </x:c>
      <x:c r="F123" s="91" t="str">
        <x:v>官方模型页</x:v>
      </x:c>
    </x:row>
    <x:row r="124">
      <x:c r="A124" s="90" t="str">
        <x:v>价格</x:v>
      </x:c>
      <x:c r="B124" s="64" t="str">
        <x:v>Cohere｜Command A+</x:v>
      </x:c>
      <x:c r="C124" s="64" t="str">
        <x:v>当前价格与计费条件</x:v>
      </x:c>
      <x:c r="D124" s="96" t="str">
        <x:v>https://docs.cohere.com/docs/command-a</x:v>
      </x:c>
      <x:c r="E124" s="64" t="str">
        <x:v>2026-08-24</x:v>
      </x:c>
      <x:c r="F124" s="91" t="str">
        <x:v>官方模型页</x:v>
      </x:c>
    </x:row>
    <x:row r="125">
      <x:c r="A125" s="90" t="str">
        <x:v>价格</x:v>
      </x:c>
      <x:c r="B125" s="64" t="str">
        <x:v>Amazon / AWS｜Nova Lite（旧代际参考）</x:v>
      </x:c>
      <x:c r="C125" s="64" t="str">
        <x:v>当前价格与计费条件</x:v>
      </x:c>
      <x:c r="D125" s="96" t="str">
        <x:v>https://aws.amazon.com/bedrock/pricing/</x:v>
      </x:c>
      <x:c r="E125" s="64" t="str">
        <x:v>2026-08-24</x:v>
      </x:c>
      <x:c r="F125" s="91" t="str">
        <x:v>动态价格页</x:v>
      </x:c>
    </x:row>
    <x:row r="126">
      <x:c r="A126" s="90" t="str">
        <x:v>价格</x:v>
      </x:c>
      <x:c r="B126" s="64" t="str">
        <x:v>阿里云 / 通义千问 Qwen｜Qwen3.8-Max</x:v>
      </x:c>
      <x:c r="C126" s="64" t="str">
        <x:v>当前价格与计费条件</x:v>
      </x:c>
      <x:c r="D126" s="96" t="str">
        <x:v>https://help.aliyun.com/zh/model-studio/model-pricing</x:v>
      </x:c>
      <x:c r="E126" s="64" t="str">
        <x:v>2026-08-24</x:v>
      </x:c>
      <x:c r="F126" s="91" t="str">
        <x:v>官方价格页</x:v>
      </x:c>
    </x:row>
    <x:row r="127">
      <x:c r="A127" s="90" t="str">
        <x:v>价格</x:v>
      </x:c>
      <x:c r="B127" s="64" t="str">
        <x:v>百度 / 文心 ERNIE｜ERNIE 5.1 ≤32K</x:v>
      </x:c>
      <x:c r="C127" s="64" t="str">
        <x:v>当前价格与计费条件</x:v>
      </x:c>
      <x:c r="D127" s="96" t="str">
        <x:v>https://cloud.baidu.com/doc/qianfan/s/wmh4sv6ya</x:v>
      </x:c>
      <x:c r="E127" s="64" t="str">
        <x:v>2026-08-24</x:v>
      </x:c>
      <x:c r="F127" s="91" t="str">
        <x:v>官方价格页</x:v>
      </x:c>
    </x:row>
    <x:row r="128">
      <x:c r="A128" s="90" t="str">
        <x:v>价格</x:v>
      </x:c>
      <x:c r="B128" s="64" t="str">
        <x:v>腾讯 / 混元 Hy｜Hy3</x:v>
      </x:c>
      <x:c r="C128" s="64" t="str">
        <x:v>当前价格与计费条件</x:v>
      </x:c>
      <x:c r="D128" s="96" t="str">
        <x:v>https://cloud.tencent.com/document/product/1823/130055</x:v>
      </x:c>
      <x:c r="E128" s="64" t="str">
        <x:v>2026-08-24</x:v>
      </x:c>
      <x:c r="F128" s="91" t="str">
        <x:v>TokenHub 价格页</x:v>
      </x:c>
    </x:row>
    <x:row r="129">
      <x:c r="A129" s="90" t="str">
        <x:v>价格</x:v>
      </x:c>
      <x:c r="B129" s="64" t="str">
        <x:v>智谱 AI / GLM｜GLM-5.2</x:v>
      </x:c>
      <x:c r="C129" s="64" t="str">
        <x:v>当前价格与计费条件</x:v>
      </x:c>
      <x:c r="D129" s="96" t="str">
        <x:v>https://bigmodel.cn/pricing</x:v>
      </x:c>
      <x:c r="E129" s="64" t="str">
        <x:v>2026-08-24</x:v>
      </x:c>
      <x:c r="F129" s="91" t="str">
        <x:v>官方价格页</x:v>
      </x:c>
    </x:row>
    <x:row r="130">
      <x:c r="A130" s="90" t="str">
        <x:v>价格</x:v>
      </x:c>
      <x:c r="B130" s="64" t="str">
        <x:v>DeepSeek｜DeepSeek V4 Flash</x:v>
      </x:c>
      <x:c r="C130" s="64" t="str">
        <x:v>当前价格与计费条件</x:v>
      </x:c>
      <x:c r="D130" s="96" t="str">
        <x:v>https://api-docs.deepseek.com/quick_start/pricing</x:v>
      </x:c>
      <x:c r="E130" s="64" t="str">
        <x:v>2026-08-24</x:v>
      </x:c>
      <x:c r="F130" s="91" t="str">
        <x:v>官方价格页</x:v>
      </x:c>
    </x:row>
    <x:row r="131">
      <x:c r="A131" s="90" t="str">
        <x:v>应用案例</x:v>
      </x:c>
      <x:c r="B131" s="64" t="str">
        <x:v>Klarna</x:v>
      </x:c>
      <x:c r="C131" s="64" t="str">
        <x:v>OpenAI 模型（版本未披露）｜全球智能客服</x:v>
      </x:c>
      <x:c r="D131" s="96" t="str">
        <x:v>https://openai.com/index/klarna/</x:v>
      </x:c>
      <x:c r="E131" s="64" t="str">
        <x:v>2026-08-24</x:v>
      </x:c>
      <x:c r="F131" s="91" t="str">
        <x:v>B｜官方客户自报</x:v>
      </x:c>
    </x:row>
    <x:row r="132">
      <x:c r="A132" s="90" t="str">
        <x:v>应用案例</x:v>
      </x:c>
      <x:c r="B132" s="64" t="str">
        <x:v>Intercom Fin</x:v>
      </x:c>
      <x:c r="C132" s="64" t="str">
        <x:v>GPT-4.1；OpenAI Realtime API｜客服任务执行、语音客服</x:v>
      </x:c>
      <x:c r="D132" s="96" t="str">
        <x:v>https://openai.com/index/intercom/</x:v>
      </x:c>
      <x:c r="E132" s="64" t="str">
        <x:v>2026-08-24</x:v>
      </x:c>
      <x:c r="F132" s="91" t="str">
        <x:v>A｜官方案例</x:v>
      </x:c>
    </x:row>
    <x:row r="133">
      <x:c r="A133" s="90" t="str">
        <x:v>应用案例</x:v>
      </x:c>
      <x:c r="B133" s="64" t="str">
        <x:v>Morgan Stanley</x:v>
      </x:c>
      <x:c r="C133" s="64" t="str">
        <x:v>GPT-4；Whisper + GPT-4｜金融知识库问答、会议纪要</x:v>
      </x:c>
      <x:c r="D133" s="96" t="str">
        <x:v>https://openai.com/index/morgan-stanley/</x:v>
      </x:c>
      <x:c r="E133" s="64" t="str">
        <x:v>2026-08-24</x:v>
      </x:c>
      <x:c r="F133" s="91" t="str">
        <x:v>A｜官方案例</x:v>
      </x:c>
    </x:row>
    <x:row r="134">
      <x:c r="A134" s="90" t="str">
        <x:v>应用案例</x:v>
      </x:c>
      <x:c r="B134" s="64" t="str">
        <x:v>Ada</x:v>
      </x:c>
      <x:c r="C134" s="64" t="str">
        <x:v>OpenAI API；早期 GPT-4｜多 Agent 客服</x:v>
      </x:c>
      <x:c r="D134" s="96" t="str">
        <x:v>https://openai.com/index/ada/</x:v>
      </x:c>
      <x:c r="E134" s="64" t="str">
        <x:v>2026-08-24</x:v>
      </x:c>
      <x:c r="F134" s="91" t="str">
        <x:v>A｜官方案例</x:v>
      </x:c>
    </x:row>
    <x:row r="135">
      <x:c r="A135" s="90" t="str">
        <x:v>应用案例</x:v>
      </x:c>
      <x:c r="B135" s="64" t="str">
        <x:v>Notion AI</x:v>
      </x:c>
      <x:c r="C135" s="64" t="str">
        <x:v>Claude + 检索 + Prompt Caching｜企业搜索、问答、写作</x:v>
      </x:c>
      <x:c r="D135" s="96" t="str">
        <x:v>https://www.anthropic.com/customers/notion</x:v>
      </x:c>
      <x:c r="E135" s="64" t="str">
        <x:v>2026-08-24</x:v>
      </x:c>
      <x:c r="F135" s="91" t="str">
        <x:v>A｜官方案例</x:v>
      </x:c>
    </x:row>
    <x:row r="136">
      <x:c r="A136" s="90" t="str">
        <x:v>应用案例</x:v>
      </x:c>
      <x:c r="B136" s="64" t="str">
        <x:v>Palo Alto Networks</x:v>
      </x:c>
      <x:c r="C136" s="64" t="str">
        <x:v>Claude 3.5 Haiku + Sonnet｜低延迟补全、复杂代码聊天与安全开发</x:v>
      </x:c>
      <x:c r="D136" s="96" t="str">
        <x:v>https://www.anthropic.com/customers/palo-alto-networks</x:v>
      </x:c>
      <x:c r="E136" s="64" t="str">
        <x:v>2026-08-24</x:v>
      </x:c>
      <x:c r="F136" s="91" t="str">
        <x:v>A｜官方案例</x:v>
      </x:c>
    </x:row>
    <x:row r="137">
      <x:c r="A137" s="90" t="str">
        <x:v>应用案例</x:v>
      </x:c>
      <x:c r="B137" s="64" t="str">
        <x:v>Replit Agent</x:v>
      </x:c>
      <x:c r="C137" s="64" t="str">
        <x:v>Claude，经 Vertex AI 部署｜自然语言生成、修改并部署应用</x:v>
      </x:c>
      <x:c r="D137" s="96" t="str">
        <x:v>https://www.anthropic.com/customers/replit</x:v>
      </x:c>
      <x:c r="E137" s="64" t="str">
        <x:v>2026-08-24</x:v>
      </x:c>
      <x:c r="F137" s="91" t="str">
        <x:v>A｜官方案例</x:v>
      </x:c>
    </x:row>
    <x:row r="138">
      <x:c r="A138" s="90" t="str">
        <x:v>应用案例</x:v>
      </x:c>
      <x:c r="B138" s="64" t="str">
        <x:v>Copy.ai</x:v>
      </x:c>
      <x:c r="C138" s="64" t="str">
        <x:v>Claude 3 Opus / Sonnet / Haiku｜营销内容和工作流生成</x:v>
      </x:c>
      <x:c r="D138" s="96" t="str">
        <x:v>https://www.anthropic.com/customers/copy-ai</x:v>
      </x:c>
      <x:c r="E138" s="64" t="str">
        <x:v>2026-08-24</x:v>
      </x:c>
      <x:c r="F138" s="91" t="str">
        <x:v>A｜官方案例</x:v>
      </x:c>
    </x:row>
    <x:row r="139">
      <x:c r="A139" s="90" t="str">
        <x:v>应用案例</x:v>
      </x:c>
      <x:c r="B139" s="64" t="str">
        <x:v>Google Pixel 8 Pro</x:v>
      </x:c>
      <x:c r="C139" s="64" t="str">
        <x:v>Gemini Nano｜录音摘要、Gboard 智能回复</x:v>
      </x:c>
      <x:c r="D139" s="96" t="str">
        <x:v>https://blog.google/products-and-platforms/devices/pixel/pixel-feature-drop-december-2023/</x:v>
      </x:c>
      <x:c r="E139" s="64" t="str">
        <x:v>2026-08-24</x:v>
      </x:c>
      <x:c r="F139" s="91" t="str">
        <x:v>A｜官方产品事实</x:v>
      </x:c>
    </x:row>
    <x:row r="140">
      <x:c r="A140" s="90" t="str">
        <x:v>应用案例</x:v>
      </x:c>
      <x:c r="B140" s="64" t="str">
        <x:v>Paradigm</x:v>
      </x:c>
      <x:c r="C140" s="64" t="str">
        <x:v>GPT-4｜病历抽取与患者匹配</x:v>
      </x:c>
      <x:c r="D140" s="96" t="str">
        <x:v>https://openai.com/index/paradigm/</x:v>
      </x:c>
      <x:c r="E140" s="64" t="str">
        <x:v>2026-08-24</x:v>
      </x:c>
      <x:c r="F140" s="91" t="str">
        <x:v>A｜官方案例</x:v>
      </x:c>
    </x:row>
    <x:row r="141">
      <x:c r="A141" s="90" t="str">
        <x:v>应用案例</x:v>
      </x:c>
      <x:c r="B141" s="64" t="str">
        <x:v>MediConCen</x:v>
      </x:c>
      <x:c r="C141" s="64" t="str">
        <x:v>Gemini + Vertex AI｜理赔抽取、总结与审核建议</x:v>
      </x:c>
      <x:c r="D141" s="96" t="str">
        <x:v>https://cloud.google.com/customers/mediconcen</x:v>
      </x:c>
      <x:c r="E141" s="64" t="str">
        <x:v>2026-08-24</x:v>
      </x:c>
      <x:c r="F141" s="91" t="str">
        <x:v>A｜官方案例</x:v>
      </x:c>
    </x:row>
    <x:row r="142">
      <x:c r="A142" s="90" t="str">
        <x:v>应用案例</x:v>
      </x:c>
      <x:c r="B142" s="64" t="str">
        <x:v>MedGemma</x:v>
      </x:c>
      <x:c r="C142" s="64" t="str">
        <x:v>基于 Gemma 3 的 4B/27B 医疗开放模型｜医疗文本、影像与边缘研究</x:v>
      </x:c>
      <x:c r="D142" s="96" t="str">
        <x:v>https://research.google/blog/medgemma-our-most-capable-open-models-for-health-ai-development/</x:v>
      </x:c>
      <x:c r="E142" s="64" t="str">
        <x:v>2026-08-24</x:v>
      </x:c>
      <x:c r="F142" s="91" t="str">
        <x:v>A｜模型卡/研究</x:v>
      </x:c>
    </x:row>
    <x:row r="143">
      <x:c r="A143" s="90" t="str">
        <x:v>应用案例</x:v>
      </x:c>
      <x:c r="B143" s="64" t="str">
        <x:v>DoorDash</x:v>
      </x:c>
      <x:c r="C143" s="64" t="str">
        <x:v>Claude 3 Haiku via Amazon Bedrock｜全语音自助联络中心</x:v>
      </x:c>
      <x:c r="D143" s="96" t="str">
        <x:v>https://aws.amazon.com/solutions/case-studies/doordash-bedrock-case-study/</x:v>
      </x:c>
      <x:c r="E143" s="64" t="str">
        <x:v>2026-08-24</x:v>
      </x:c>
      <x:c r="F143" s="91" t="str">
        <x:v>A｜AWS 案例</x:v>
      </x:c>
    </x:row>
    <x:row r="144">
      <x:c r="A144" s="90" t="str">
        <x:v>应用案例</x:v>
      </x:c>
      <x:c r="B144" s="64" t="str">
        <x:v>Lightblue Qarasu</x:v>
      </x:c>
      <x:c r="C144" s="64" t="str">
        <x:v>在 Qwen-14B 上微调｜日语企业 LLM、可私有化</x:v>
      </x:c>
      <x:c r="D144" s="96" t="str">
        <x:v>https://www.alibabacloud.com/blog/lightblue-releases-japanese-language-llms-based-on-qwen-14b-for-commercial-use_600933</x:v>
      </x:c>
      <x:c r="E144" s="64" t="str">
        <x:v>2026-08-24</x:v>
      </x:c>
      <x:c r="F144" s="91" t="str">
        <x:v>A｜官方案例</x:v>
      </x:c>
    </x:row>
    <x:row r="145">
      <x:c r="A145" s="90" t="str">
        <x:v>应用案例</x:v>
      </x:c>
      <x:c r="B145" s="64" t="str">
        <x:v>AT&amp;T</x:v>
      </x:c>
      <x:c r="C145" s="64" t="str">
        <x:v>微调 Llama｜客户服务搜索与洞察</x:v>
      </x:c>
      <x:c r="D145" s="96" t="str">
        <x:v>https://ai.meta.com/blog/llama-usage-doubled-may-through-july-2024/</x:v>
      </x:c>
      <x:c r="E145" s="64" t="str">
        <x:v>2026-08-24</x:v>
      </x:c>
      <x:c r="F145" s="91" t="str">
        <x:v>A｜Meta 官方案例</x:v>
      </x:c>
    </x:row>
    <x:row r="146">
      <x:c r="A146" s="90" t="str">
        <x:v>应用案例</x:v>
      </x:c>
      <x:c r="B146" s="64" t="str">
        <x:v>Codeium</x:v>
      </x:c>
      <x:c r="C146" s="64" t="str">
        <x:v>微调 Llama 3.1 70B/405B｜企业代码助手</x:v>
      </x:c>
      <x:c r="D146" s="96" t="str">
        <x:v>https://ai.meta.com/blog/codeium-ai-coding-assistant-llama/</x:v>
      </x:c>
      <x:c r="E146" s="64" t="str">
        <x:v>2026-08-24</x:v>
      </x:c>
      <x:c r="F146" s="91" t="str">
        <x:v>A｜Meta 官方案例</x:v>
      </x:c>
    </x:row>
    <x:row r="147">
      <x:c r="A147" s="90" t="str">
        <x:v>应用案例</x:v>
      </x:c>
      <x:c r="B147" s="64" t="str">
        <x:v>三七互娱</x:v>
      </x:c>
      <x:c r="C147" s="64" t="str">
        <x:v>文心大模型 + RAG（版本未披露）｜游戏客服、问题分流</x:v>
      </x:c>
      <x:c r="D147" s="96" t="str">
        <x:v>https://cloud.baidu.com/customer/case/sanqihuyu.html</x:v>
      </x:c>
      <x:c r="E147" s="64" t="str">
        <x:v>2026-08-24</x:v>
      </x:c>
      <x:c r="F147" s="91" t="str">
        <x:v>B｜官方案例</x:v>
      </x:c>
    </x:row>
    <x:row r="148">
      <x:c r="A148" s="90" t="str">
        <x:v>应用案例</x:v>
      </x:c>
      <x:c r="B148" s="64" t="str">
        <x:v>深圳市气象局“智霁1.0”</x:v>
      </x:c>
      <x:c r="C148" s="64" t="str">
        <x:v>盘古气象大模型 + 区域数据｜区域天气预报</x:v>
      </x:c>
      <x:c r="D148" s="96" t="str">
        <x:v>https://www.huawei.com/cn/news/2024/3/pangu-weather</x:v>
      </x:c>
      <x:c r="E148" s="64" t="str">
        <x:v>2026-08-24</x:v>
      </x:c>
      <x:c r="F148" s="91" t="str">
        <x:v>A｜官方案例</x:v>
      </x:c>
    </x:row>
    <x:row r="149">
      <x:c r="A149" s="90" t="str">
        <x:v>应用案例</x:v>
      </x:c>
      <x:c r="B149" s="64" t="str">
        <x:v>邮储银行</x:v>
      </x:c>
      <x:c r="C149" s="64" t="str">
        <x:v>盘古/CodeArts｜面向 4,000+ 研发人员的代码生成与单测</x:v>
      </x:c>
      <x:c r="D149" s="96" t="str">
        <x:v>https://www.huaweicloud.com/intl/en-us/news/20240920140037065.html</x:v>
      </x:c>
      <x:c r="E149" s="64" t="str">
        <x:v>2026-08-24</x:v>
      </x:c>
      <x:c r="F149" s="91" t="str">
        <x:v>A｜官方案例</x:v>
      </x:c>
    </x:row>
    <x:row r="150">
      <x:c r="A150" s="90" t="str">
        <x:v>应用案例</x:v>
      </x:c>
      <x:c r="B150" s="64" t="str">
        <x:v>Starlink</x:v>
      </x:c>
      <x:c r="C150" s="64" t="str">
        <x:v>Grok Voice Think Fast｜电话销售与支持 Agent</x:v>
      </x:c>
      <x:c r="D150" s="96" t="str">
        <x:v>https://x.ai/news/grok-voice-think-fast-1</x:v>
      </x:c>
      <x:c r="E150" s="64" t="str">
        <x:v>2026-08-24</x:v>
      </x:c>
      <x:c r="F150" s="91" t="str">
        <x:v>A｜官方产品案例</x:v>
      </x:c>
    </x:row>
    <x:row r="151">
      <x:c r="A151" s="90" t="str">
        <x:v>应用案例</x:v>
      </x:c>
      <x:c r="B151" s="64" t="str">
        <x:v>Gelato</x:v>
      </x:c>
      <x:c r="C151" s="64" t="str">
        <x:v>Gemini 1.5 Pro｜工单分类</x:v>
      </x:c>
      <x:c r="D151" s="96" t="str">
        <x:v>https://cloud.google.com/customers/gelato</x:v>
      </x:c>
      <x:c r="E151" s="64" t="str">
        <x:v>2026-08-24</x:v>
      </x:c>
      <x:c r="F151" s="91" t="str">
        <x:v>A｜官方案例</x:v>
      </x:c>
    </x:row>
    <x:row r="152">
      <x:c r="A152" s="90" t="str">
        <x:v>应用案例</x:v>
      </x:c>
      <x:c r="B152" s="64" t="str">
        <x:v>豆包 / TRAE</x:v>
      </x:c>
      <x:c r="C152" s="64" t="str">
        <x:v>Seed 2.0/2.1 系列｜搜索、代码、GUI、多模态 Agent</x:v>
      </x:c>
      <x:c r="D152" s="96" t="str">
        <x:v>https://seed.bytedance.com/en/blog/seed2-0-%25E6%25AD%25A3%25E5%25BC%258F%25E5%258F%2591%25E5%25B8%2583</x:v>
      </x:c>
      <x:c r="E152" s="64" t="str">
        <x:v>2026-08-24</x:v>
      </x:c>
      <x:c r="F152" s="91" t="str">
        <x:v>B｜官方产品事实</x:v>
      </x:c>
    </x:row>
    <x:row r="153">
      <x:c r="A153" s="92" t="str">
        <x:v>应用案例</x:v>
      </x:c>
      <x:c r="B153" s="93" t="str">
        <x:v>MiniMax Agent</x:v>
      </x:c>
      <x:c r="C153" s="93" t="str">
        <x:v>M2.5/M2.7｜代码、检索、Word/PPT/Excel Office Skills</x:v>
      </x:c>
      <x:c r="D153" s="97" t="str">
        <x:v>https://www.minimax.io/news/minimax-m25</x:v>
      </x:c>
      <x:c r="E153" s="93" t="str">
        <x:v>2026-08-24</x:v>
      </x:c>
      <x:c r="F153" s="94" t="str">
        <x:v>B｜官方产品事实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ea822b3e8744bb"/>
  </x:tableParts>
</x:worksheet>
</file>